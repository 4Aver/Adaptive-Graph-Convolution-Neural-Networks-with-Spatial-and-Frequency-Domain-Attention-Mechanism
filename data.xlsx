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drawings/drawing3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0.xml" ContentType="application/vnd.openxmlformats-officedocument.themeOverride+xml"/>
  <Override PartName="/xl/drawings/drawing6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1.xml" ContentType="application/vnd.openxmlformats-officedocument.themeOverride+xml"/>
  <Override PartName="/xl/drawings/drawing7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2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3.xml" ContentType="application/vnd.openxmlformats-officedocument.themeOverride+xml"/>
  <Override PartName="/xl/drawings/drawing10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4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毕业论文\黄金超53220123102\论文和代码\"/>
    </mc:Choice>
  </mc:AlternateContent>
  <xr:revisionPtr revIDLastSave="0" documentId="13_ncr:1_{34A39F00-A4CB-42C4-A5FE-4AF347CBF705}" xr6:coauthVersionLast="47" xr6:coauthVersionMax="47" xr10:uidLastSave="{00000000-0000-0000-0000-000000000000}"/>
  <bookViews>
    <workbookView xWindow="-93" yWindow="-93" windowWidth="21520" windowHeight="12800" firstSheet="1" activeTab="9" xr2:uid="{51F8ABF5-4ADF-4835-9787-568670B90CC4}"/>
  </bookViews>
  <sheets>
    <sheet name="统计数据" sheetId="3" r:id="rId1"/>
    <sheet name="汇总" sheetId="5" r:id="rId2"/>
    <sheet name="Sheet1" sheetId="20" r:id="rId3"/>
    <sheet name="头数" sheetId="10" r:id="rId4"/>
    <sheet name="emb" sheetId="13" r:id="rId5"/>
    <sheet name="fb-dim" sheetId="14" r:id="rId6"/>
    <sheet name="retrain" sheetId="15" r:id="rId7"/>
    <sheet name="seq_len" sheetId="16" r:id="rId8"/>
    <sheet name="outputblock" sheetId="17" r:id="rId9"/>
    <sheet name="消融" sheetId="1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2" i="20" l="1"/>
  <c r="K63" i="20" s="1"/>
  <c r="J52" i="20"/>
  <c r="J63" i="20" s="1"/>
  <c r="I52" i="20"/>
  <c r="I63" i="20" s="1"/>
  <c r="H52" i="20"/>
  <c r="H63" i="20" s="1"/>
  <c r="G52" i="20"/>
  <c r="G63" i="20" s="1"/>
  <c r="F52" i="20"/>
  <c r="F63" i="20" s="1"/>
  <c r="E52" i="20"/>
  <c r="E63" i="20" s="1"/>
  <c r="D52" i="20"/>
  <c r="D63" i="20" s="1"/>
  <c r="C52" i="20"/>
  <c r="C63" i="20" s="1"/>
  <c r="N51" i="20"/>
  <c r="N52" i="20" s="1"/>
  <c r="N63" i="20" s="1"/>
  <c r="M51" i="20"/>
  <c r="M52" i="20" s="1"/>
  <c r="M63" i="20" s="1"/>
  <c r="L51" i="20"/>
  <c r="L52" i="20" s="1"/>
  <c r="L63" i="20" s="1"/>
  <c r="K35" i="20"/>
  <c r="J35" i="20"/>
  <c r="I35" i="20"/>
  <c r="H35" i="20"/>
  <c r="G35" i="20"/>
  <c r="F35" i="20"/>
  <c r="E35" i="20"/>
  <c r="D35" i="20"/>
  <c r="C35" i="20"/>
  <c r="N34" i="20"/>
  <c r="N35" i="20" s="1"/>
  <c r="M34" i="20"/>
  <c r="M35" i="20" s="1"/>
  <c r="L34" i="20"/>
  <c r="L35" i="20" s="1"/>
  <c r="K17" i="20"/>
  <c r="K61" i="20" s="1"/>
  <c r="J17" i="20"/>
  <c r="J61" i="20" s="1"/>
  <c r="I17" i="20"/>
  <c r="I61" i="20" s="1"/>
  <c r="H17" i="20"/>
  <c r="H61" i="20" s="1"/>
  <c r="G17" i="20"/>
  <c r="G61" i="20" s="1"/>
  <c r="F17" i="20"/>
  <c r="F61" i="20" s="1"/>
  <c r="E17" i="20"/>
  <c r="E61" i="20" s="1"/>
  <c r="D17" i="20"/>
  <c r="D61" i="20" s="1"/>
  <c r="C17" i="20"/>
  <c r="C61" i="20" s="1"/>
  <c r="N16" i="20"/>
  <c r="N17" i="20" s="1"/>
  <c r="N61" i="20" s="1"/>
  <c r="M16" i="20"/>
  <c r="M17" i="20" s="1"/>
  <c r="M61" i="20" s="1"/>
  <c r="L16" i="20"/>
  <c r="L17" i="20" s="1"/>
  <c r="L61" i="20" s="1"/>
  <c r="K11" i="16"/>
  <c r="J11" i="16"/>
  <c r="I11" i="16"/>
  <c r="D11" i="16"/>
  <c r="E11" i="16"/>
  <c r="C11" i="16"/>
  <c r="S11" i="18"/>
  <c r="E11" i="18"/>
  <c r="L11" i="18"/>
  <c r="L10" i="18"/>
  <c r="S10" i="18"/>
  <c r="S9" i="18"/>
  <c r="E7" i="16"/>
  <c r="Z10" i="13"/>
  <c r="Z9" i="13"/>
  <c r="Z8" i="13"/>
  <c r="Z7" i="13"/>
  <c r="Z6" i="13"/>
  <c r="Z5" i="13"/>
  <c r="G41" i="13"/>
  <c r="G40" i="13"/>
  <c r="R10" i="13"/>
  <c r="R9" i="13"/>
  <c r="R8" i="13"/>
  <c r="R7" i="13"/>
  <c r="R6" i="13"/>
  <c r="R5" i="13"/>
  <c r="G39" i="13"/>
  <c r="G38" i="13"/>
  <c r="E10" i="18"/>
  <c r="E9" i="18"/>
  <c r="L9" i="18"/>
  <c r="S12" i="18"/>
  <c r="L12" i="18"/>
  <c r="E12" i="18"/>
  <c r="K7" i="16"/>
  <c r="K73" i="5"/>
  <c r="K84" i="5" s="1"/>
  <c r="J73" i="5"/>
  <c r="J84" i="5" s="1"/>
  <c r="I73" i="5"/>
  <c r="I84" i="5" s="1"/>
  <c r="H73" i="5"/>
  <c r="H84" i="5" s="1"/>
  <c r="G73" i="5"/>
  <c r="G84" i="5" s="1"/>
  <c r="F73" i="5"/>
  <c r="F84" i="5" s="1"/>
  <c r="E73" i="5"/>
  <c r="E84" i="5" s="1"/>
  <c r="D73" i="5"/>
  <c r="D84" i="5" s="1"/>
  <c r="C73" i="5"/>
  <c r="C84" i="5" s="1"/>
  <c r="K49" i="5"/>
  <c r="J49" i="5"/>
  <c r="I49" i="5"/>
  <c r="H49" i="5"/>
  <c r="G49" i="5"/>
  <c r="F49" i="5"/>
  <c r="E49" i="5"/>
  <c r="D49" i="5"/>
  <c r="C49" i="5"/>
  <c r="D24" i="5"/>
  <c r="D82" i="5" s="1"/>
  <c r="E24" i="5"/>
  <c r="E82" i="5" s="1"/>
  <c r="F24" i="5"/>
  <c r="F82" i="5" s="1"/>
  <c r="G24" i="5"/>
  <c r="G82" i="5" s="1"/>
  <c r="H24" i="5"/>
  <c r="H82" i="5" s="1"/>
  <c r="I24" i="5"/>
  <c r="I82" i="5" s="1"/>
  <c r="J24" i="5"/>
  <c r="J82" i="5" s="1"/>
  <c r="K24" i="5"/>
  <c r="K82" i="5" s="1"/>
  <c r="C24" i="5"/>
  <c r="C82" i="5" s="1"/>
  <c r="K10" i="17"/>
  <c r="E10" i="17"/>
  <c r="K9" i="17"/>
  <c r="E9" i="17"/>
  <c r="K8" i="17"/>
  <c r="E8" i="17"/>
  <c r="K10" i="16"/>
  <c r="K9" i="16"/>
  <c r="E9" i="16"/>
  <c r="E10" i="16"/>
  <c r="K8" i="16"/>
  <c r="E8" i="16"/>
  <c r="E7" i="15"/>
  <c r="K9" i="15"/>
  <c r="E9" i="15"/>
  <c r="Q9" i="15"/>
  <c r="Q8" i="15"/>
  <c r="E8" i="15"/>
  <c r="K8" i="15"/>
  <c r="K10" i="14"/>
  <c r="K9" i="14"/>
  <c r="K8" i="14"/>
  <c r="K7" i="14"/>
  <c r="K6" i="14"/>
  <c r="E10" i="14"/>
  <c r="E9" i="14"/>
  <c r="E8" i="14"/>
  <c r="E7" i="14"/>
  <c r="E6" i="14"/>
  <c r="L10" i="13"/>
  <c r="L9" i="13"/>
  <c r="L8" i="13"/>
  <c r="L7" i="13"/>
  <c r="L6" i="13"/>
  <c r="L5" i="13"/>
  <c r="E5" i="13"/>
  <c r="E9" i="13"/>
  <c r="E8" i="13"/>
  <c r="E7" i="13"/>
  <c r="E6" i="13"/>
  <c r="O12" i="10"/>
  <c r="O11" i="10"/>
  <c r="O10" i="10"/>
  <c r="O9" i="10"/>
  <c r="O8" i="10"/>
  <c r="C62" i="20" l="1" a="1"/>
  <c r="C62" i="20" s="1"/>
  <c r="F11" i="10"/>
  <c r="F8" i="10"/>
  <c r="F9" i="10"/>
  <c r="F10" i="10"/>
  <c r="F7" i="10"/>
  <c r="M48" i="5" l="1"/>
  <c r="M49" i="5" s="1"/>
  <c r="L48" i="5"/>
  <c r="BA23" i="5"/>
  <c r="AZ23" i="5"/>
  <c r="AY23" i="5"/>
  <c r="N72" i="5"/>
  <c r="N73" i="5" s="1"/>
  <c r="N84" i="5" s="1"/>
  <c r="M72" i="5"/>
  <c r="M73" i="5" s="1"/>
  <c r="M84" i="5" s="1"/>
  <c r="L72" i="5"/>
  <c r="L73" i="5" s="1"/>
  <c r="L84" i="5" s="1"/>
  <c r="N23" i="5"/>
  <c r="N24" i="5" s="1"/>
  <c r="N82" i="5" s="1"/>
  <c r="M23" i="5"/>
  <c r="M24" i="5" s="1"/>
  <c r="M82" i="5" s="1"/>
  <c r="L23" i="5"/>
  <c r="L24" i="5" s="1"/>
  <c r="L82" i="5" s="1"/>
  <c r="N48" i="5" l="1"/>
  <c r="N49" i="5" s="1"/>
  <c r="L49" i="5"/>
  <c r="C83" i="5" s="1" a="1"/>
  <c r="C8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<sst xmlns="http://schemas.openxmlformats.org/spreadsheetml/2006/main" count="716" uniqueCount="118">
  <si>
    <t>STGCN</t>
  </si>
  <si>
    <t>DCRNN</t>
  </si>
  <si>
    <t>GMAN</t>
  </si>
  <si>
    <t>MAE</t>
  </si>
  <si>
    <t>RMSE</t>
  </si>
  <si>
    <t>MAPE</t>
  </si>
  <si>
    <t>PEMS-BAY</t>
  </si>
  <si>
    <t>Table 1: Statistics of datasets.</t>
  </si>
  <si>
    <t xml:space="preserve">Dataset </t>
  </si>
  <si>
    <t xml:space="preserve">Length </t>
  </si>
  <si>
    <t xml:space="preserve"># Variants </t>
  </si>
  <si>
    <t xml:space="preserve">Sample Rate </t>
  </si>
  <si>
    <t>Time Span</t>
  </si>
  <si>
    <t xml:space="preserve">PEMS04 
PEMS07 
PEMS08 
PEMS-BAY 
Electricity </t>
  </si>
  <si>
    <t xml:space="preserve">16992 
28224 
17856 
52116 
2208 </t>
  </si>
  <si>
    <t xml:space="preserve">307 
883 
170 
325 
336 </t>
  </si>
  <si>
    <t xml:space="preserve">5mins 
5mins 
5mins 
5mins 
60mins </t>
  </si>
  <si>
    <t>2 months
3 months
2 months
6 months
3 months</t>
  </si>
  <si>
    <t>HI</t>
  </si>
  <si>
    <t>VAR</t>
  </si>
  <si>
    <t>LSTM</t>
  </si>
  <si>
    <t>GWNet</t>
  </si>
  <si>
    <t>AGCRN</t>
  </si>
  <si>
    <t>StemGNN</t>
  </si>
  <si>
    <t>MTGNN</t>
  </si>
  <si>
    <t>STNorm</t>
  </si>
  <si>
    <t>STID</t>
  </si>
  <si>
    <t>PEMS07</t>
  </si>
  <si>
    <t>15min</t>
    <phoneticPr fontId="1" type="noConversion"/>
  </si>
  <si>
    <t>30min</t>
    <phoneticPr fontId="1" type="noConversion"/>
  </si>
  <si>
    <t>1hour</t>
    <phoneticPr fontId="1" type="noConversion"/>
  </si>
  <si>
    <t>PEMS04</t>
    <phoneticPr fontId="1" type="noConversion"/>
  </si>
  <si>
    <t>Avg.</t>
    <phoneticPr fontId="1" type="noConversion"/>
  </si>
  <si>
    <t>My_Model</t>
    <phoneticPr fontId="1" type="noConversion"/>
  </si>
  <si>
    <t>Metric</t>
    <phoneticPr fontId="1" type="noConversion"/>
  </si>
  <si>
    <t>Time_Span</t>
    <phoneticPr fontId="1" type="noConversion"/>
  </si>
  <si>
    <t>MAPE</t>
    <phoneticPr fontId="1" type="noConversion"/>
  </si>
  <si>
    <t>ASTGCN</t>
  </si>
  <si>
    <t>PEMS03</t>
    <phoneticPr fontId="1" type="noConversion"/>
  </si>
  <si>
    <t>HA</t>
  </si>
  <si>
    <t>GWN</t>
  </si>
  <si>
    <t>Tformer</t>
  </si>
  <si>
    <t>DDSTGCN</t>
  </si>
  <si>
    <t>Bi-STAT</t>
  </si>
  <si>
    <t>STWave</t>
  </si>
  <si>
    <t>HTVGNN</t>
  </si>
  <si>
    <t>NA</t>
    <phoneticPr fontId="1" type="noConversion"/>
  </si>
  <si>
    <t>StemGNN</t>
    <phoneticPr fontId="1" type="noConversion"/>
  </si>
  <si>
    <t>Tformer</t>
    <phoneticPr fontId="1" type="noConversion"/>
  </si>
  <si>
    <t>STWave</t>
    <phoneticPr fontId="1" type="noConversion"/>
  </si>
  <si>
    <t>ASTGCN</t>
    <phoneticPr fontId="1" type="noConversion"/>
  </si>
  <si>
    <t>HTVGNN</t>
    <phoneticPr fontId="1" type="noConversion"/>
  </si>
  <si>
    <t>Bi-STAT</t>
    <phoneticPr fontId="1" type="noConversion"/>
  </si>
  <si>
    <t>DDSTGCN</t>
    <phoneticPr fontId="1" type="noConversion"/>
  </si>
  <si>
    <t>头数对预测效果的影响：</t>
    <phoneticPr fontId="1" type="noConversion"/>
  </si>
  <si>
    <t>15分钟</t>
    <phoneticPr fontId="1" type="noConversion"/>
  </si>
  <si>
    <t xml:space="preserve">n_heads </t>
    <phoneticPr fontId="1" type="noConversion"/>
  </si>
  <si>
    <t>MAE</t>
    <phoneticPr fontId="1" type="noConversion"/>
  </si>
  <si>
    <t>RMSE</t>
    <phoneticPr fontId="1" type="noConversion"/>
  </si>
  <si>
    <t>MAPE%</t>
    <phoneticPr fontId="1" type="noConversion"/>
  </si>
  <si>
    <t>embedding</t>
    <phoneticPr fontId="1" type="noConversion"/>
  </si>
  <si>
    <t>60分钟</t>
    <phoneticPr fontId="1" type="noConversion"/>
  </si>
  <si>
    <t>PEMS08</t>
    <phoneticPr fontId="1" type="noConversion"/>
  </si>
  <si>
    <t>fb_dim</t>
    <phoneticPr fontId="1" type="noConversion"/>
  </si>
  <si>
    <t>fb-dim =64</t>
    <phoneticPr fontId="1" type="noConversion"/>
  </si>
  <si>
    <t>emb_dim =64</t>
    <phoneticPr fontId="1" type="noConversion"/>
  </si>
  <si>
    <t>n_heads =xxx</t>
    <phoneticPr fontId="1" type="noConversion"/>
  </si>
  <si>
    <t>n_heads =8</t>
    <phoneticPr fontId="1" type="noConversion"/>
  </si>
  <si>
    <t>emb_dim =xxx</t>
    <phoneticPr fontId="1" type="noConversion"/>
  </si>
  <si>
    <t>emb_dim =8</t>
    <phoneticPr fontId="1" type="noConversion"/>
  </si>
  <si>
    <t>fb-dim =xxx</t>
    <phoneticPr fontId="1" type="noConversion"/>
  </si>
  <si>
    <t>fb-dim =8</t>
    <phoneticPr fontId="1" type="noConversion"/>
  </si>
  <si>
    <t>horizon</t>
    <phoneticPr fontId="1" type="noConversion"/>
  </si>
  <si>
    <t>lr=7e-4</t>
    <phoneticPr fontId="1" type="noConversion"/>
  </si>
  <si>
    <t>batch = 32</t>
    <phoneticPr fontId="1" type="noConversion"/>
  </si>
  <si>
    <t>epoch = 500</t>
    <phoneticPr fontId="1" type="noConversion"/>
  </si>
  <si>
    <t>patience = 40</t>
    <phoneticPr fontId="1" type="noConversion"/>
  </si>
  <si>
    <t>step=5</t>
    <phoneticPr fontId="1" type="noConversion"/>
  </si>
  <si>
    <t>gamma=0.98</t>
    <phoneticPr fontId="1" type="noConversion"/>
  </si>
  <si>
    <t>PEMS07</t>
    <phoneticPr fontId="1" type="noConversion"/>
  </si>
  <si>
    <t>60min</t>
    <phoneticPr fontId="1" type="noConversion"/>
  </si>
  <si>
    <t>HA</t>
    <phoneticPr fontId="1" type="noConversion"/>
  </si>
  <si>
    <t>seq_len</t>
    <phoneticPr fontId="1" type="noConversion"/>
  </si>
  <si>
    <t>output</t>
    <phoneticPr fontId="1" type="noConversion"/>
  </si>
  <si>
    <t>relu</t>
    <phoneticPr fontId="1" type="noConversion"/>
  </si>
  <si>
    <t>glu</t>
    <phoneticPr fontId="1" type="noConversion"/>
  </si>
  <si>
    <t>SAGFA</t>
    <phoneticPr fontId="1" type="noConversion"/>
  </si>
  <si>
    <t>Promotion</t>
    <phoneticPr fontId="1" type="noConversion"/>
  </si>
  <si>
    <t>loss</t>
    <phoneticPr fontId="1" type="noConversion"/>
  </si>
  <si>
    <t>节点数</t>
    <phoneticPr fontId="1" type="noConversion"/>
  </si>
  <si>
    <t>最优节点数</t>
    <phoneticPr fontId="1" type="noConversion"/>
  </si>
  <si>
    <t>比率</t>
    <phoneticPr fontId="1" type="noConversion"/>
  </si>
  <si>
    <t>n_his = n_pred = 12</t>
    <phoneticPr fontId="1" type="noConversion"/>
  </si>
  <si>
    <t>AGFB</t>
    <phoneticPr fontId="1" type="noConversion"/>
  </si>
  <si>
    <t>SFB</t>
    <phoneticPr fontId="1" type="noConversion"/>
  </si>
  <si>
    <t>SAGO</t>
    <phoneticPr fontId="1" type="noConversion"/>
  </si>
  <si>
    <t>数据集</t>
  </si>
  <si>
    <t>PEMS04</t>
  </si>
  <si>
    <t>PEMS08</t>
  </si>
  <si>
    <t>Horizon</t>
    <phoneticPr fontId="1" type="noConversion"/>
  </si>
  <si>
    <t>Metrics</t>
  </si>
  <si>
    <t>Metrics</t>
    <phoneticPr fontId="1" type="noConversion"/>
  </si>
  <si>
    <t>SAGFA</t>
  </si>
  <si>
    <t>Ada-GCN</t>
  </si>
  <si>
    <t>Ada-GCN</t>
    <phoneticPr fontId="1" type="noConversion"/>
  </si>
  <si>
    <t>Spatial Attn.</t>
  </si>
  <si>
    <t>Spatial Attn.</t>
    <phoneticPr fontId="1" type="noConversion"/>
  </si>
  <si>
    <t>Freq. Attn</t>
    <phoneticPr fontId="1" type="noConversion"/>
  </si>
  <si>
    <t>√</t>
    <phoneticPr fontId="1" type="noConversion"/>
  </si>
  <si>
    <t>SAGO</t>
  </si>
  <si>
    <t>×</t>
    <phoneticPr fontId="1" type="noConversion"/>
  </si>
  <si>
    <t>AGFB</t>
  </si>
  <si>
    <t>SFB</t>
  </si>
  <si>
    <t>表 5-12消融实验结果</t>
  </si>
  <si>
    <t>Mask模块</t>
  </si>
  <si>
    <t>MAPE%</t>
  </si>
  <si>
    <t>Freq. Attn.</t>
  </si>
  <si>
    <t>完整模型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</si>
</sst>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%"/>
    <numFmt numFmtId="177" formatCode="0.000000%"/>
    <numFmt numFmtId="178" formatCode="0.00000"/>
  </numFmts>
  <fonts count="1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rgb="FF000000"/>
      <name val="LinLibertineTB"/>
      <family val="2"/>
    </font>
    <font>
      <sz val="9"/>
      <color rgb="FF000000"/>
      <name val="LinLibertineT"/>
      <family val="2"/>
    </font>
    <font>
      <sz val="8"/>
      <color rgb="FF242021"/>
      <name val="NimbusRomNo9L-Medi"/>
      <family val="2"/>
    </font>
    <font>
      <sz val="8"/>
      <color rgb="FF242021"/>
      <name val="NimbusRomNo9L-Regu"/>
      <family val="2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/>
    </xf>
    <xf numFmtId="176" fontId="7" fillId="0" borderId="14" xfId="1" applyNumberFormat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center" vertical="center"/>
    </xf>
    <xf numFmtId="0" fontId="7" fillId="0" borderId="14" xfId="1" applyNumberFormat="1" applyFont="1" applyBorder="1" applyAlignment="1">
      <alignment horizontal="center" vertical="center"/>
    </xf>
    <xf numFmtId="0" fontId="0" fillId="0" borderId="14" xfId="0" applyBorder="1">
      <alignment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/>
    </xf>
    <xf numFmtId="176" fontId="7" fillId="2" borderId="14" xfId="1" applyNumberFormat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4" xfId="1" applyNumberFormat="1" applyFont="1" applyFill="1" applyBorder="1" applyAlignment="1">
      <alignment horizontal="center" vertical="center"/>
    </xf>
    <xf numFmtId="176" fontId="7" fillId="4" borderId="14" xfId="1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4" xfId="1" applyNumberFormat="1" applyFont="1" applyFill="1" applyBorder="1" applyAlignment="1">
      <alignment horizontal="center" vertical="center"/>
    </xf>
    <xf numFmtId="176" fontId="7" fillId="3" borderId="14" xfId="1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4" xfId="1" applyNumberFormat="1" applyFont="1" applyFill="1" applyBorder="1" applyAlignment="1">
      <alignment horizontal="center" vertical="center"/>
    </xf>
    <xf numFmtId="176" fontId="7" fillId="5" borderId="14" xfId="1" applyNumberFormat="1" applyFont="1" applyFill="1" applyBorder="1" applyAlignment="1">
      <alignment horizontal="center" vertical="center"/>
    </xf>
    <xf numFmtId="0" fontId="0" fillId="5" borderId="14" xfId="0" applyFill="1" applyBorder="1">
      <alignment vertical="center"/>
    </xf>
    <xf numFmtId="177" fontId="7" fillId="5" borderId="14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7" fillId="5" borderId="11" xfId="0" applyFont="1" applyFill="1" applyBorder="1" applyAlignment="1">
      <alignment horizontal="center" vertical="center"/>
    </xf>
    <xf numFmtId="9" fontId="7" fillId="5" borderId="12" xfId="1" applyFont="1" applyFill="1" applyBorder="1" applyAlignment="1">
      <alignment horizontal="center" vertical="center"/>
    </xf>
    <xf numFmtId="9" fontId="7" fillId="5" borderId="13" xfId="1" applyFont="1" applyFill="1" applyBorder="1" applyAlignment="1">
      <alignment horizontal="center" vertical="center"/>
    </xf>
    <xf numFmtId="9" fontId="7" fillId="5" borderId="11" xfId="1" applyFont="1" applyFill="1" applyBorder="1" applyAlignment="1">
      <alignment horizontal="center" vertical="center"/>
    </xf>
    <xf numFmtId="9" fontId="8" fillId="5" borderId="13" xfId="1" applyFont="1" applyFill="1" applyBorder="1" applyAlignment="1">
      <alignment horizontal="center" vertical="center"/>
    </xf>
    <xf numFmtId="9" fontId="8" fillId="5" borderId="11" xfId="1" applyFont="1" applyFill="1" applyBorder="1" applyAlignment="1">
      <alignment horizontal="center" vertical="center"/>
    </xf>
    <xf numFmtId="9" fontId="8" fillId="5" borderId="12" xfId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0" fillId="0" borderId="14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0" borderId="0" xfId="1" applyNumberFormat="1" applyFont="1" applyBorder="1" applyAlignment="1">
      <alignment horizontal="center" vertical="center"/>
    </xf>
    <xf numFmtId="177" fontId="7" fillId="0" borderId="0" xfId="1" applyNumberFormat="1" applyFont="1" applyBorder="1" applyAlignment="1">
      <alignment horizontal="center" vertical="center"/>
    </xf>
    <xf numFmtId="176" fontId="7" fillId="5" borderId="0" xfId="1" applyNumberFormat="1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4" xfId="1" applyNumberFormat="1" applyFont="1" applyFill="1" applyBorder="1" applyAlignment="1">
      <alignment horizontal="center" vertical="center"/>
    </xf>
    <xf numFmtId="176" fontId="7" fillId="6" borderId="14" xfId="1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78" fontId="7" fillId="5" borderId="14" xfId="1" applyNumberFormat="1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Relationship Id="rId4" Type="http://schemas.openxmlformats.org/officeDocument/2006/relationships/chartUserShapes" Target="../drawings/drawing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3.xml"/><Relationship Id="rId1" Type="http://schemas.microsoft.com/office/2011/relationships/chartStyle" Target="style13.xml"/><Relationship Id="rId4" Type="http://schemas.openxmlformats.org/officeDocument/2006/relationships/chartUserShapes" Target="../drawings/drawing6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4.xml"/><Relationship Id="rId1" Type="http://schemas.microsoft.com/office/2011/relationships/chartStyle" Target="style14.xml"/><Relationship Id="rId4" Type="http://schemas.openxmlformats.org/officeDocument/2006/relationships/chartUserShapes" Target="../drawings/drawing7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5.xml"/><Relationship Id="rId1" Type="http://schemas.microsoft.com/office/2011/relationships/chartStyle" Target="style15.xml"/><Relationship Id="rId4" Type="http://schemas.openxmlformats.org/officeDocument/2006/relationships/chartUserShapes" Target="../drawings/drawing8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6.xml"/><Relationship Id="rId1" Type="http://schemas.microsoft.com/office/2011/relationships/chartStyle" Target="style16.xml"/><Relationship Id="rId4" Type="http://schemas.openxmlformats.org/officeDocument/2006/relationships/chartUserShapes" Target="../drawings/drawing10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7.xml"/><Relationship Id="rId1" Type="http://schemas.microsoft.com/office/2011/relationships/chartStyle" Target="style17.xml"/><Relationship Id="rId4" Type="http://schemas.openxmlformats.org/officeDocument/2006/relationships/chartUserShapes" Target="../drawings/drawing11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PEMS04 15</a:t>
            </a:r>
            <a:r>
              <a:rPr lang="zh-CN" altLang="en-US"/>
              <a:t>分钟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4351777456389382E-2"/>
          <c:y val="0.13937342391024651"/>
          <c:w val="0.91174781723713105"/>
          <c:h val="0.69145411970562498"/>
        </c:manualLayout>
      </c:layout>
      <c:lineChart>
        <c:grouping val="standard"/>
        <c:varyColors val="0"/>
        <c:ser>
          <c:idx val="0"/>
          <c:order val="0"/>
          <c:tx>
            <c:strRef>
              <c:f>汇总!$C$4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汇总!$B$5:$B$23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Tformer</c:v>
                </c:pt>
                <c:pt idx="4">
                  <c:v>ASTGCN</c:v>
                </c:pt>
                <c:pt idx="5">
                  <c:v>StemGNN</c:v>
                </c:pt>
                <c:pt idx="6">
                  <c:v>STGCN</c:v>
                </c:pt>
                <c:pt idx="7">
                  <c:v>MTGNN</c:v>
                </c:pt>
                <c:pt idx="8">
                  <c:v>DCRNN</c:v>
                </c:pt>
                <c:pt idx="9">
                  <c:v>AGCRN</c:v>
                </c:pt>
                <c:pt idx="10">
                  <c:v>DDSTGCN</c:v>
                </c:pt>
                <c:pt idx="11">
                  <c:v>STNorm</c:v>
                </c:pt>
                <c:pt idx="12">
                  <c:v>GMAN</c:v>
                </c:pt>
                <c:pt idx="13">
                  <c:v>Bi-STAT</c:v>
                </c:pt>
                <c:pt idx="14">
                  <c:v>GWNet</c:v>
                </c:pt>
                <c:pt idx="15">
                  <c:v>STWave</c:v>
                </c:pt>
                <c:pt idx="16">
                  <c:v>STID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汇总!$C$5:$C$23</c:f>
              <c:numCache>
                <c:formatCode>General</c:formatCode>
                <c:ptCount val="19"/>
                <c:pt idx="0">
                  <c:v>42.33</c:v>
                </c:pt>
                <c:pt idx="1">
                  <c:v>21.94</c:v>
                </c:pt>
                <c:pt idx="2">
                  <c:v>21.37</c:v>
                </c:pt>
                <c:pt idx="3">
                  <c:v>21.02</c:v>
                </c:pt>
                <c:pt idx="4">
                  <c:v>19.55</c:v>
                </c:pt>
                <c:pt idx="5">
                  <c:v>19.48</c:v>
                </c:pt>
                <c:pt idx="6">
                  <c:v>18.739999999999998</c:v>
                </c:pt>
                <c:pt idx="7">
                  <c:v>18.649999999999999</c:v>
                </c:pt>
                <c:pt idx="8">
                  <c:v>18.53</c:v>
                </c:pt>
                <c:pt idx="9">
                  <c:v>18.52</c:v>
                </c:pt>
                <c:pt idx="10">
                  <c:v>18.399999999999999</c:v>
                </c:pt>
                <c:pt idx="11">
                  <c:v>18.28</c:v>
                </c:pt>
                <c:pt idx="12">
                  <c:v>18.27</c:v>
                </c:pt>
                <c:pt idx="13">
                  <c:v>18.16</c:v>
                </c:pt>
                <c:pt idx="14">
                  <c:v>18</c:v>
                </c:pt>
                <c:pt idx="15">
                  <c:v>17.64</c:v>
                </c:pt>
                <c:pt idx="16">
                  <c:v>17.510000000000002</c:v>
                </c:pt>
                <c:pt idx="17">
                  <c:v>17.25</c:v>
                </c:pt>
                <c:pt idx="18">
                  <c:v>11.177808000000001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D-48B4-9A87-5F9E0406E326}"/>
            </c:ext>
          </c:extLst>
        </c:ser>
        <c:ser>
          <c:idx val="1"/>
          <c:order val="1"/>
          <c:tx>
            <c:strRef>
              <c:f>汇总!$D$4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汇总!$D$5:$D$23</c:f>
              <c:numCache>
                <c:formatCode>General</c:formatCode>
                <c:ptCount val="19"/>
                <c:pt idx="0">
                  <c:v>61.64</c:v>
                </c:pt>
                <c:pt idx="1">
                  <c:v>34.299999999999997</c:v>
                </c:pt>
                <c:pt idx="2">
                  <c:v>33.31</c:v>
                </c:pt>
                <c:pt idx="3">
                  <c:v>31.33</c:v>
                </c:pt>
                <c:pt idx="4">
                  <c:v>31.16</c:v>
                </c:pt>
                <c:pt idx="5">
                  <c:v>30.74</c:v>
                </c:pt>
                <c:pt idx="6">
                  <c:v>29.84</c:v>
                </c:pt>
                <c:pt idx="7">
                  <c:v>30.13</c:v>
                </c:pt>
                <c:pt idx="8">
                  <c:v>29.61</c:v>
                </c:pt>
                <c:pt idx="9">
                  <c:v>29.79</c:v>
                </c:pt>
                <c:pt idx="10">
                  <c:v>29.38</c:v>
                </c:pt>
                <c:pt idx="11">
                  <c:v>29.7</c:v>
                </c:pt>
                <c:pt idx="12">
                  <c:v>29.35</c:v>
                </c:pt>
                <c:pt idx="13">
                  <c:v>29.29</c:v>
                </c:pt>
                <c:pt idx="14">
                  <c:v>28.83</c:v>
                </c:pt>
                <c:pt idx="15">
                  <c:v>28.98</c:v>
                </c:pt>
                <c:pt idx="16">
                  <c:v>28.48</c:v>
                </c:pt>
                <c:pt idx="17">
                  <c:v>28.48</c:v>
                </c:pt>
                <c:pt idx="18">
                  <c:v>19.317778000000001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D-48B4-9A87-5F9E0406E326}"/>
            </c:ext>
          </c:extLst>
        </c:ser>
        <c:ser>
          <c:idx val="2"/>
          <c:order val="2"/>
          <c:tx>
            <c:strRef>
              <c:f>汇总!$E$4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汇总!$E$5:$E$23</c:f>
              <c:numCache>
                <c:formatCode>General</c:formatCode>
                <c:ptCount val="19"/>
                <c:pt idx="0">
                  <c:v>29.9</c:v>
                </c:pt>
                <c:pt idx="1">
                  <c:v>16.420000000000002</c:v>
                </c:pt>
                <c:pt idx="2">
                  <c:v>15.21</c:v>
                </c:pt>
                <c:pt idx="3">
                  <c:v>14.94</c:v>
                </c:pt>
                <c:pt idx="4">
                  <c:v>12.99</c:v>
                </c:pt>
                <c:pt idx="5">
                  <c:v>13.84</c:v>
                </c:pt>
                <c:pt idx="6">
                  <c:v>14.42</c:v>
                </c:pt>
                <c:pt idx="7">
                  <c:v>13.320000000000002</c:v>
                </c:pt>
                <c:pt idx="8">
                  <c:v>12.709999999999999</c:v>
                </c:pt>
                <c:pt idx="9">
                  <c:v>12.31</c:v>
                </c:pt>
                <c:pt idx="10">
                  <c:v>12.86</c:v>
                </c:pt>
                <c:pt idx="11">
                  <c:v>12.280000000000001</c:v>
                </c:pt>
                <c:pt idx="12">
                  <c:v>12.659999999999998</c:v>
                </c:pt>
                <c:pt idx="13">
                  <c:v>12.39</c:v>
                </c:pt>
                <c:pt idx="14">
                  <c:v>13.639999999999999</c:v>
                </c:pt>
                <c:pt idx="15">
                  <c:v>11.89</c:v>
                </c:pt>
                <c:pt idx="16">
                  <c:v>12</c:v>
                </c:pt>
                <c:pt idx="17">
                  <c:v>11.44</c:v>
                </c:pt>
                <c:pt idx="18">
                  <c:v>9.6057579999999998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6D-48B4-9A87-5F9E0406E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094735"/>
        <c:axId val="811100495"/>
      </c:lineChart>
      <c:catAx>
        <c:axId val="81109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100495"/>
        <c:crosses val="autoZero"/>
        <c:auto val="1"/>
        <c:lblAlgn val="ctr"/>
        <c:lblOffset val="100"/>
        <c:noMultiLvlLbl val="0"/>
      </c:catAx>
      <c:valAx>
        <c:axId val="8111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0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883938972869033"/>
          <c:y val="0.14249858473573157"/>
          <c:w val="0.49461958458896343"/>
          <c:h val="7.0011386051285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PEMS04 30</a:t>
            </a:r>
            <a:r>
              <a:rPr lang="zh-CN" altLang="en-US"/>
              <a:t>分钟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汇总!$F$4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汇总!$B$5:$B$23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Tformer</c:v>
                </c:pt>
                <c:pt idx="4">
                  <c:v>ASTGCN</c:v>
                </c:pt>
                <c:pt idx="5">
                  <c:v>StemGNN</c:v>
                </c:pt>
                <c:pt idx="6">
                  <c:v>STGCN</c:v>
                </c:pt>
                <c:pt idx="7">
                  <c:v>MTGNN</c:v>
                </c:pt>
                <c:pt idx="8">
                  <c:v>DCRNN</c:v>
                </c:pt>
                <c:pt idx="9">
                  <c:v>AGCRN</c:v>
                </c:pt>
                <c:pt idx="10">
                  <c:v>DDSTGCN</c:v>
                </c:pt>
                <c:pt idx="11">
                  <c:v>STNorm</c:v>
                </c:pt>
                <c:pt idx="12">
                  <c:v>GMAN</c:v>
                </c:pt>
                <c:pt idx="13">
                  <c:v>Bi-STAT</c:v>
                </c:pt>
                <c:pt idx="14">
                  <c:v>GWNet</c:v>
                </c:pt>
                <c:pt idx="15">
                  <c:v>STWave</c:v>
                </c:pt>
                <c:pt idx="16">
                  <c:v>STID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汇总!$F$5:$F$23</c:f>
              <c:numCache>
                <c:formatCode>General</c:formatCode>
                <c:ptCount val="19"/>
                <c:pt idx="0">
                  <c:v>42.35</c:v>
                </c:pt>
                <c:pt idx="1">
                  <c:v>23.72</c:v>
                </c:pt>
                <c:pt idx="2">
                  <c:v>23.72</c:v>
                </c:pt>
                <c:pt idx="3">
                  <c:v>22.37</c:v>
                </c:pt>
                <c:pt idx="4">
                  <c:v>20.32</c:v>
                </c:pt>
                <c:pt idx="5">
                  <c:v>21.4</c:v>
                </c:pt>
                <c:pt idx="6">
                  <c:v>19.64</c:v>
                </c:pt>
                <c:pt idx="7">
                  <c:v>19.48</c:v>
                </c:pt>
                <c:pt idx="8">
                  <c:v>19.649999999999999</c:v>
                </c:pt>
                <c:pt idx="9">
                  <c:v>19.45</c:v>
                </c:pt>
                <c:pt idx="10">
                  <c:v>19.64</c:v>
                </c:pt>
                <c:pt idx="11">
                  <c:v>18.920000000000002</c:v>
                </c:pt>
                <c:pt idx="12">
                  <c:v>18.809999999999999</c:v>
                </c:pt>
                <c:pt idx="13">
                  <c:v>19.010000000000002</c:v>
                </c:pt>
                <c:pt idx="14">
                  <c:v>18.96</c:v>
                </c:pt>
                <c:pt idx="15">
                  <c:v>18.68</c:v>
                </c:pt>
                <c:pt idx="16">
                  <c:v>18.29</c:v>
                </c:pt>
                <c:pt idx="17">
                  <c:v>18.010000000000002</c:v>
                </c:pt>
                <c:pt idx="18">
                  <c:v>14.992013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1-4841-8FC6-306D73A20A9F}"/>
            </c:ext>
          </c:extLst>
        </c:ser>
        <c:ser>
          <c:idx val="1"/>
          <c:order val="1"/>
          <c:tx>
            <c:strRef>
              <c:f>汇总!$G$4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汇总!$G$5:$G$23</c:f>
              <c:numCache>
                <c:formatCode>General</c:formatCode>
                <c:ptCount val="19"/>
                <c:pt idx="0">
                  <c:v>61.66</c:v>
                </c:pt>
                <c:pt idx="1">
                  <c:v>36.58</c:v>
                </c:pt>
                <c:pt idx="2">
                  <c:v>36.58</c:v>
                </c:pt>
                <c:pt idx="3">
                  <c:v>33.049999999999997</c:v>
                </c:pt>
                <c:pt idx="4">
                  <c:v>32.39</c:v>
                </c:pt>
                <c:pt idx="5">
                  <c:v>33.46</c:v>
                </c:pt>
                <c:pt idx="6">
                  <c:v>31.34</c:v>
                </c:pt>
                <c:pt idx="7">
                  <c:v>32.020000000000003</c:v>
                </c:pt>
                <c:pt idx="8">
                  <c:v>31.37</c:v>
                </c:pt>
                <c:pt idx="9">
                  <c:v>31.45</c:v>
                </c:pt>
                <c:pt idx="10">
                  <c:v>31.15</c:v>
                </c:pt>
                <c:pt idx="11">
                  <c:v>31.12</c:v>
                </c:pt>
                <c:pt idx="12">
                  <c:v>30.85</c:v>
                </c:pt>
                <c:pt idx="13">
                  <c:v>30.61</c:v>
                </c:pt>
                <c:pt idx="14">
                  <c:v>30.33</c:v>
                </c:pt>
                <c:pt idx="15">
                  <c:v>30.62</c:v>
                </c:pt>
                <c:pt idx="16">
                  <c:v>29.86</c:v>
                </c:pt>
                <c:pt idx="17">
                  <c:v>29.81</c:v>
                </c:pt>
                <c:pt idx="18">
                  <c:v>24.801310999999998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01-4841-8FC6-306D73A20A9F}"/>
            </c:ext>
          </c:extLst>
        </c:ser>
        <c:ser>
          <c:idx val="2"/>
          <c:order val="2"/>
          <c:tx>
            <c:strRef>
              <c:f>汇总!$H$4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汇总!$H$5:$H$23</c:f>
              <c:numCache>
                <c:formatCode>General</c:formatCode>
                <c:ptCount val="19"/>
                <c:pt idx="0">
                  <c:v>29.92</c:v>
                </c:pt>
                <c:pt idx="1">
                  <c:v>18.02</c:v>
                </c:pt>
                <c:pt idx="2">
                  <c:v>18.02</c:v>
                </c:pt>
                <c:pt idx="3">
                  <c:v>16.239999999999998</c:v>
                </c:pt>
                <c:pt idx="4">
                  <c:v>13.39</c:v>
                </c:pt>
                <c:pt idx="5">
                  <c:v>15.85</c:v>
                </c:pt>
                <c:pt idx="6">
                  <c:v>13.270000000000001</c:v>
                </c:pt>
                <c:pt idx="7">
                  <c:v>14.08</c:v>
                </c:pt>
                <c:pt idx="8">
                  <c:v>13.450000000000001</c:v>
                </c:pt>
                <c:pt idx="9">
                  <c:v>12.82</c:v>
                </c:pt>
                <c:pt idx="10">
                  <c:v>13.77</c:v>
                </c:pt>
                <c:pt idx="11">
                  <c:v>12.709999999999999</c:v>
                </c:pt>
                <c:pt idx="12">
                  <c:v>13.25</c:v>
                </c:pt>
                <c:pt idx="13">
                  <c:v>12.92</c:v>
                </c:pt>
                <c:pt idx="14">
                  <c:v>14.23</c:v>
                </c:pt>
                <c:pt idx="15">
                  <c:v>12.62</c:v>
                </c:pt>
                <c:pt idx="16">
                  <c:v>12.46</c:v>
                </c:pt>
                <c:pt idx="17">
                  <c:v>11.89</c:v>
                </c:pt>
                <c:pt idx="18">
                  <c:v>12.299506000000001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01-4841-8FC6-306D73A20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12607"/>
        <c:axId val="791913087"/>
      </c:lineChart>
      <c:catAx>
        <c:axId val="79191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3087"/>
        <c:crosses val="autoZero"/>
        <c:auto val="1"/>
        <c:lblAlgn val="ctr"/>
        <c:lblOffset val="100"/>
        <c:noMultiLvlLbl val="0"/>
      </c:catAx>
      <c:valAx>
        <c:axId val="7919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472C4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PEMS04 60</a:t>
            </a:r>
            <a:r>
              <a:rPr lang="zh-CN" altLang="en-US"/>
              <a:t>分钟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6186436611035437E-2"/>
          <c:y val="0.14792574471880335"/>
          <c:w val="0.910995935634628"/>
          <c:h val="0.65487687825429586"/>
        </c:manualLayout>
      </c:layout>
      <c:lineChart>
        <c:grouping val="standard"/>
        <c:varyColors val="0"/>
        <c:ser>
          <c:idx val="0"/>
          <c:order val="0"/>
          <c:tx>
            <c:strRef>
              <c:f>汇总!$I$4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汇总!$B$5:$B$23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Tformer</c:v>
                </c:pt>
                <c:pt idx="4">
                  <c:v>ASTGCN</c:v>
                </c:pt>
                <c:pt idx="5">
                  <c:v>StemGNN</c:v>
                </c:pt>
                <c:pt idx="6">
                  <c:v>STGCN</c:v>
                </c:pt>
                <c:pt idx="7">
                  <c:v>MTGNN</c:v>
                </c:pt>
                <c:pt idx="8">
                  <c:v>DCRNN</c:v>
                </c:pt>
                <c:pt idx="9">
                  <c:v>AGCRN</c:v>
                </c:pt>
                <c:pt idx="10">
                  <c:v>DDSTGCN</c:v>
                </c:pt>
                <c:pt idx="11">
                  <c:v>STNorm</c:v>
                </c:pt>
                <c:pt idx="12">
                  <c:v>GMAN</c:v>
                </c:pt>
                <c:pt idx="13">
                  <c:v>Bi-STAT</c:v>
                </c:pt>
                <c:pt idx="14">
                  <c:v>GWNet</c:v>
                </c:pt>
                <c:pt idx="15">
                  <c:v>STWave</c:v>
                </c:pt>
                <c:pt idx="16">
                  <c:v>STID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汇总!$I$5:$I$23</c:f>
              <c:numCache>
                <c:formatCode>General</c:formatCode>
                <c:ptCount val="19"/>
                <c:pt idx="0">
                  <c:v>42.37</c:v>
                </c:pt>
                <c:pt idx="1">
                  <c:v>26.76</c:v>
                </c:pt>
                <c:pt idx="2">
                  <c:v>26.76</c:v>
                </c:pt>
                <c:pt idx="3">
                  <c:v>23.72</c:v>
                </c:pt>
                <c:pt idx="4">
                  <c:v>23.63</c:v>
                </c:pt>
                <c:pt idx="5">
                  <c:v>24.9</c:v>
                </c:pt>
                <c:pt idx="6">
                  <c:v>21.12</c:v>
                </c:pt>
                <c:pt idx="7">
                  <c:v>20.96</c:v>
                </c:pt>
                <c:pt idx="8">
                  <c:v>21.67</c:v>
                </c:pt>
                <c:pt idx="9">
                  <c:v>20.64</c:v>
                </c:pt>
                <c:pt idx="10">
                  <c:v>21.82</c:v>
                </c:pt>
                <c:pt idx="11">
                  <c:v>20.2</c:v>
                </c:pt>
                <c:pt idx="12">
                  <c:v>20.010000000000002</c:v>
                </c:pt>
                <c:pt idx="13">
                  <c:v>21.68</c:v>
                </c:pt>
                <c:pt idx="14">
                  <c:v>20.53</c:v>
                </c:pt>
                <c:pt idx="15">
                  <c:v>20.03</c:v>
                </c:pt>
                <c:pt idx="16">
                  <c:v>19.579999999999998</c:v>
                </c:pt>
                <c:pt idx="17">
                  <c:v>19.2</c:v>
                </c:pt>
                <c:pt idx="18">
                  <c:v>20.882076000000001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1-40FE-9EC6-FE4316E3BA70}"/>
            </c:ext>
          </c:extLst>
        </c:ser>
        <c:ser>
          <c:idx val="1"/>
          <c:order val="1"/>
          <c:tx>
            <c:strRef>
              <c:f>汇总!$J$4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汇总!$J$5:$J$23</c:f>
              <c:numCache>
                <c:formatCode>General</c:formatCode>
                <c:ptCount val="19"/>
                <c:pt idx="0">
                  <c:v>61.67</c:v>
                </c:pt>
                <c:pt idx="1">
                  <c:v>40.28</c:v>
                </c:pt>
                <c:pt idx="2">
                  <c:v>40.28</c:v>
                </c:pt>
                <c:pt idx="3">
                  <c:v>34.729999999999997</c:v>
                </c:pt>
                <c:pt idx="4">
                  <c:v>37.21</c:v>
                </c:pt>
                <c:pt idx="5">
                  <c:v>38.29</c:v>
                </c:pt>
                <c:pt idx="6">
                  <c:v>33.53</c:v>
                </c:pt>
                <c:pt idx="7">
                  <c:v>34.659999999999997</c:v>
                </c:pt>
                <c:pt idx="8">
                  <c:v>34.19</c:v>
                </c:pt>
                <c:pt idx="9">
                  <c:v>33.31</c:v>
                </c:pt>
                <c:pt idx="10">
                  <c:v>34.07</c:v>
                </c:pt>
                <c:pt idx="11">
                  <c:v>32.909999999999997</c:v>
                </c:pt>
                <c:pt idx="12">
                  <c:v>31.32</c:v>
                </c:pt>
                <c:pt idx="13">
                  <c:v>33.85</c:v>
                </c:pt>
                <c:pt idx="14">
                  <c:v>32.54</c:v>
                </c:pt>
                <c:pt idx="15">
                  <c:v>32.64</c:v>
                </c:pt>
                <c:pt idx="16">
                  <c:v>31.79</c:v>
                </c:pt>
                <c:pt idx="17">
                  <c:v>31.62</c:v>
                </c:pt>
                <c:pt idx="18">
                  <c:v>33.100116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51-40FE-9EC6-FE4316E3BA70}"/>
            </c:ext>
          </c:extLst>
        </c:ser>
        <c:ser>
          <c:idx val="2"/>
          <c:order val="2"/>
          <c:tx>
            <c:strRef>
              <c:f>汇总!$K$4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汇总!$K$5:$K$23</c:f>
              <c:numCache>
                <c:formatCode>General</c:formatCode>
                <c:ptCount val="19"/>
                <c:pt idx="0">
                  <c:v>29.959999999999997</c:v>
                </c:pt>
                <c:pt idx="1">
                  <c:v>20.94</c:v>
                </c:pt>
                <c:pt idx="2">
                  <c:v>20.94</c:v>
                </c:pt>
                <c:pt idx="3">
                  <c:v>17.41</c:v>
                </c:pt>
                <c:pt idx="4">
                  <c:v>15.31</c:v>
                </c:pt>
                <c:pt idx="5">
                  <c:v>19.5</c:v>
                </c:pt>
                <c:pt idx="6">
                  <c:v>14.219999999999999</c:v>
                </c:pt>
                <c:pt idx="7">
                  <c:v>14.96</c:v>
                </c:pt>
                <c:pt idx="8">
                  <c:v>15.03</c:v>
                </c:pt>
                <c:pt idx="9">
                  <c:v>13.74</c:v>
                </c:pt>
                <c:pt idx="10">
                  <c:v>15.4</c:v>
                </c:pt>
                <c:pt idx="11">
                  <c:v>13.43</c:v>
                </c:pt>
                <c:pt idx="12">
                  <c:v>13.4</c:v>
                </c:pt>
                <c:pt idx="13">
                  <c:v>15.36</c:v>
                </c:pt>
                <c:pt idx="14">
                  <c:v>15.409999999999998</c:v>
                </c:pt>
                <c:pt idx="15">
                  <c:v>13.68</c:v>
                </c:pt>
                <c:pt idx="16">
                  <c:v>13.38</c:v>
                </c:pt>
                <c:pt idx="17">
                  <c:v>12.72</c:v>
                </c:pt>
                <c:pt idx="18">
                  <c:v>16.438348999999999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51-40FE-9EC6-FE4316E3B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12607"/>
        <c:axId val="791913087"/>
      </c:lineChart>
      <c:catAx>
        <c:axId val="79191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3087"/>
        <c:crosses val="autoZero"/>
        <c:auto val="1"/>
        <c:lblAlgn val="ctr"/>
        <c:lblOffset val="100"/>
        <c:noMultiLvlLbl val="0"/>
      </c:catAx>
      <c:valAx>
        <c:axId val="7919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472C4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905006072553167"/>
          <c:y val="6.7895084543003567E-2"/>
          <c:w val="0.3904229007239074"/>
          <c:h val="6.377595657685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PEMS07 60</a:t>
            </a:r>
            <a:r>
              <a:rPr lang="zh-CN" altLang="en-US"/>
              <a:t>分钟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6186436611035437E-2"/>
          <c:y val="0.14792574471880335"/>
          <c:w val="0.910995935634628"/>
          <c:h val="0.65487687825429586"/>
        </c:manualLayout>
      </c:layout>
      <c:lineChart>
        <c:grouping val="standard"/>
        <c:varyColors val="0"/>
        <c:ser>
          <c:idx val="0"/>
          <c:order val="0"/>
          <c:tx>
            <c:strRef>
              <c:f>汇总!$I$29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汇总!$B$30:$B$48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ASTGCN</c:v>
                </c:pt>
                <c:pt idx="3">
                  <c:v>LSTM</c:v>
                </c:pt>
                <c:pt idx="4">
                  <c:v>STGCN</c:v>
                </c:pt>
                <c:pt idx="5">
                  <c:v>Tformer</c:v>
                </c:pt>
                <c:pt idx="6">
                  <c:v>StemGNN</c:v>
                </c:pt>
                <c:pt idx="7">
                  <c:v>DCRNN</c:v>
                </c:pt>
                <c:pt idx="8">
                  <c:v>DDSTGCN</c:v>
                </c:pt>
                <c:pt idx="9">
                  <c:v>GWNet</c:v>
                </c:pt>
                <c:pt idx="10">
                  <c:v>AGCRN</c:v>
                </c:pt>
                <c:pt idx="11">
                  <c:v>GMAN</c:v>
                </c:pt>
                <c:pt idx="12">
                  <c:v>MTGNN</c:v>
                </c:pt>
                <c:pt idx="13">
                  <c:v>STNorm</c:v>
                </c:pt>
                <c:pt idx="14">
                  <c:v>STID</c:v>
                </c:pt>
                <c:pt idx="15">
                  <c:v>Bi-STAT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汇总!$I$30:$I$48</c:f>
              <c:numCache>
                <c:formatCode>General</c:formatCode>
                <c:ptCount val="19"/>
                <c:pt idx="0">
                  <c:v>49.06</c:v>
                </c:pt>
                <c:pt idx="1">
                  <c:v>38.369999999999997</c:v>
                </c:pt>
                <c:pt idx="2">
                  <c:v>39.369999999999997</c:v>
                </c:pt>
                <c:pt idx="3">
                  <c:v>28.73</c:v>
                </c:pt>
                <c:pt idx="4">
                  <c:v>24.16</c:v>
                </c:pt>
                <c:pt idx="5">
                  <c:v>25.15</c:v>
                </c:pt>
                <c:pt idx="6">
                  <c:v>26.2</c:v>
                </c:pt>
                <c:pt idx="7">
                  <c:v>24.14</c:v>
                </c:pt>
                <c:pt idx="8">
                  <c:v>24.49</c:v>
                </c:pt>
                <c:pt idx="9">
                  <c:v>22.79</c:v>
                </c:pt>
                <c:pt idx="10">
                  <c:v>22.74</c:v>
                </c:pt>
                <c:pt idx="11">
                  <c:v>22.25</c:v>
                </c:pt>
                <c:pt idx="12">
                  <c:v>23.6</c:v>
                </c:pt>
                <c:pt idx="13">
                  <c:v>22.6</c:v>
                </c:pt>
                <c:pt idx="14">
                  <c:v>21.52</c:v>
                </c:pt>
                <c:pt idx="15">
                  <c:v>24.34</c:v>
                </c:pt>
                <c:pt idx="16">
                  <c:v>21.45</c:v>
                </c:pt>
                <c:pt idx="17">
                  <c:v>21.86</c:v>
                </c:pt>
                <c:pt idx="18">
                  <c:v>23.726500999999999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4-49B8-BABF-2C101E4C7F47}"/>
            </c:ext>
          </c:extLst>
        </c:ser>
        <c:ser>
          <c:idx val="1"/>
          <c:order val="1"/>
          <c:tx>
            <c:strRef>
              <c:f>汇总!$J$29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汇总!$B$30:$B$48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ASTGCN</c:v>
                </c:pt>
                <c:pt idx="3">
                  <c:v>LSTM</c:v>
                </c:pt>
                <c:pt idx="4">
                  <c:v>STGCN</c:v>
                </c:pt>
                <c:pt idx="5">
                  <c:v>Tformer</c:v>
                </c:pt>
                <c:pt idx="6">
                  <c:v>StemGNN</c:v>
                </c:pt>
                <c:pt idx="7">
                  <c:v>DCRNN</c:v>
                </c:pt>
                <c:pt idx="8">
                  <c:v>DDSTGCN</c:v>
                </c:pt>
                <c:pt idx="9">
                  <c:v>GWNet</c:v>
                </c:pt>
                <c:pt idx="10">
                  <c:v>AGCRN</c:v>
                </c:pt>
                <c:pt idx="11">
                  <c:v>GMAN</c:v>
                </c:pt>
                <c:pt idx="12">
                  <c:v>MTGNN</c:v>
                </c:pt>
                <c:pt idx="13">
                  <c:v>STNorm</c:v>
                </c:pt>
                <c:pt idx="14">
                  <c:v>STID</c:v>
                </c:pt>
                <c:pt idx="15">
                  <c:v>Bi-STAT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汇总!$J$30:$J$48</c:f>
              <c:numCache>
                <c:formatCode>General</c:formatCode>
                <c:ptCount val="19"/>
                <c:pt idx="0">
                  <c:v>71.2</c:v>
                </c:pt>
                <c:pt idx="1">
                  <c:v>56.82</c:v>
                </c:pt>
                <c:pt idx="2">
                  <c:v>58.07</c:v>
                </c:pt>
                <c:pt idx="3">
                  <c:v>45.63</c:v>
                </c:pt>
                <c:pt idx="4">
                  <c:v>39.479999999999997</c:v>
                </c:pt>
                <c:pt idx="5">
                  <c:v>38.520000000000003</c:v>
                </c:pt>
                <c:pt idx="6">
                  <c:v>42.32</c:v>
                </c:pt>
                <c:pt idx="7">
                  <c:v>38.840000000000003</c:v>
                </c:pt>
                <c:pt idx="8">
                  <c:v>39.03</c:v>
                </c:pt>
                <c:pt idx="9">
                  <c:v>37.11</c:v>
                </c:pt>
                <c:pt idx="10">
                  <c:v>37.94</c:v>
                </c:pt>
                <c:pt idx="11">
                  <c:v>36.4</c:v>
                </c:pt>
                <c:pt idx="12">
                  <c:v>38.1</c:v>
                </c:pt>
                <c:pt idx="13">
                  <c:v>38.65</c:v>
                </c:pt>
                <c:pt idx="14">
                  <c:v>36.29</c:v>
                </c:pt>
                <c:pt idx="15">
                  <c:v>38.880000000000003</c:v>
                </c:pt>
                <c:pt idx="16">
                  <c:v>36.549999999999997</c:v>
                </c:pt>
                <c:pt idx="17">
                  <c:v>36.200000000000003</c:v>
                </c:pt>
                <c:pt idx="18">
                  <c:v>36.472565000000003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B4-49B8-BABF-2C101E4C7F47}"/>
            </c:ext>
          </c:extLst>
        </c:ser>
        <c:ser>
          <c:idx val="2"/>
          <c:order val="2"/>
          <c:tx>
            <c:strRef>
              <c:f>汇总!$K$29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汇总!$B$30:$B$48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ASTGCN</c:v>
                </c:pt>
                <c:pt idx="3">
                  <c:v>LSTM</c:v>
                </c:pt>
                <c:pt idx="4">
                  <c:v>STGCN</c:v>
                </c:pt>
                <c:pt idx="5">
                  <c:v>Tformer</c:v>
                </c:pt>
                <c:pt idx="6">
                  <c:v>StemGNN</c:v>
                </c:pt>
                <c:pt idx="7">
                  <c:v>DCRNN</c:v>
                </c:pt>
                <c:pt idx="8">
                  <c:v>DDSTGCN</c:v>
                </c:pt>
                <c:pt idx="9">
                  <c:v>GWNet</c:v>
                </c:pt>
                <c:pt idx="10">
                  <c:v>AGCRN</c:v>
                </c:pt>
                <c:pt idx="11">
                  <c:v>GMAN</c:v>
                </c:pt>
                <c:pt idx="12">
                  <c:v>MTGNN</c:v>
                </c:pt>
                <c:pt idx="13">
                  <c:v>STNorm</c:v>
                </c:pt>
                <c:pt idx="14">
                  <c:v>STID</c:v>
                </c:pt>
                <c:pt idx="15">
                  <c:v>Bi-STAT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汇总!$K$30:$K$48</c:f>
              <c:numCache>
                <c:formatCode>General</c:formatCode>
                <c:ptCount val="19"/>
                <c:pt idx="0">
                  <c:v>22.79</c:v>
                </c:pt>
                <c:pt idx="1">
                  <c:v>22.040000000000003</c:v>
                </c:pt>
                <c:pt idx="2">
                  <c:v>18</c:v>
                </c:pt>
                <c:pt idx="3">
                  <c:v>12.23</c:v>
                </c:pt>
                <c:pt idx="4">
                  <c:v>10.26</c:v>
                </c:pt>
                <c:pt idx="5">
                  <c:v>11.87</c:v>
                </c:pt>
                <c:pt idx="6">
                  <c:v>11</c:v>
                </c:pt>
                <c:pt idx="7">
                  <c:v>10.42</c:v>
                </c:pt>
                <c:pt idx="8">
                  <c:v>10.91</c:v>
                </c:pt>
                <c:pt idx="9">
                  <c:v>9.73</c:v>
                </c:pt>
                <c:pt idx="10">
                  <c:v>9.7100000000000009</c:v>
                </c:pt>
                <c:pt idx="11">
                  <c:v>9.48</c:v>
                </c:pt>
                <c:pt idx="12">
                  <c:v>10.100000000000001</c:v>
                </c:pt>
                <c:pt idx="13">
                  <c:v>9.6</c:v>
                </c:pt>
                <c:pt idx="14">
                  <c:v>9.15</c:v>
                </c:pt>
                <c:pt idx="15">
                  <c:v>10.43</c:v>
                </c:pt>
                <c:pt idx="16">
                  <c:v>9.07</c:v>
                </c:pt>
                <c:pt idx="17">
                  <c:v>9.2100000000000009</c:v>
                </c:pt>
                <c:pt idx="18">
                  <c:v>10.341199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B4-49B8-BABF-2C101E4C7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12607"/>
        <c:axId val="791913087"/>
      </c:lineChart>
      <c:catAx>
        <c:axId val="79191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3087"/>
        <c:crosses val="autoZero"/>
        <c:auto val="1"/>
        <c:lblAlgn val="ctr"/>
        <c:lblOffset val="100"/>
        <c:noMultiLvlLbl val="0"/>
      </c:catAx>
      <c:valAx>
        <c:axId val="7919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472C4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905006072553167"/>
          <c:y val="6.7895084543003567E-2"/>
          <c:w val="0.3904229007239074"/>
          <c:h val="6.377595657685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PEMS07 15</a:t>
            </a:r>
            <a:r>
              <a:rPr lang="zh-CN" altLang="en-US"/>
              <a:t>分钟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6186436611035437E-2"/>
          <c:y val="0.14792574471880335"/>
          <c:w val="0.910995935634628"/>
          <c:h val="0.65487687825429586"/>
        </c:manualLayout>
      </c:layout>
      <c:lineChart>
        <c:grouping val="standard"/>
        <c:varyColors val="0"/>
        <c:ser>
          <c:idx val="0"/>
          <c:order val="0"/>
          <c:tx>
            <c:strRef>
              <c:f>汇总!$C$29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汇总!$B$30:$B$48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ASTGCN</c:v>
                </c:pt>
                <c:pt idx="3">
                  <c:v>LSTM</c:v>
                </c:pt>
                <c:pt idx="4">
                  <c:v>STGCN</c:v>
                </c:pt>
                <c:pt idx="5">
                  <c:v>Tformer</c:v>
                </c:pt>
                <c:pt idx="6">
                  <c:v>StemGNN</c:v>
                </c:pt>
                <c:pt idx="7">
                  <c:v>DCRNN</c:v>
                </c:pt>
                <c:pt idx="8">
                  <c:v>DDSTGCN</c:v>
                </c:pt>
                <c:pt idx="9">
                  <c:v>GWNet</c:v>
                </c:pt>
                <c:pt idx="10">
                  <c:v>AGCRN</c:v>
                </c:pt>
                <c:pt idx="11">
                  <c:v>GMAN</c:v>
                </c:pt>
                <c:pt idx="12">
                  <c:v>MTGNN</c:v>
                </c:pt>
                <c:pt idx="13">
                  <c:v>STNorm</c:v>
                </c:pt>
                <c:pt idx="14">
                  <c:v>STID</c:v>
                </c:pt>
                <c:pt idx="15">
                  <c:v>Bi-STAT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汇总!$C$30:$C$48</c:f>
              <c:numCache>
                <c:formatCode>General</c:formatCode>
                <c:ptCount val="19"/>
                <c:pt idx="0">
                  <c:v>49.02</c:v>
                </c:pt>
                <c:pt idx="1">
                  <c:v>32.020000000000003</c:v>
                </c:pt>
                <c:pt idx="2">
                  <c:v>23.94</c:v>
                </c:pt>
                <c:pt idx="3">
                  <c:v>20.420000000000002</c:v>
                </c:pt>
                <c:pt idx="4">
                  <c:v>20.329999999999998</c:v>
                </c:pt>
                <c:pt idx="5">
                  <c:v>20.28</c:v>
                </c:pt>
                <c:pt idx="6">
                  <c:v>19.739999999999998</c:v>
                </c:pt>
                <c:pt idx="7">
                  <c:v>19.45</c:v>
                </c:pt>
                <c:pt idx="8">
                  <c:v>19.72</c:v>
                </c:pt>
                <c:pt idx="9">
                  <c:v>18.690000000000001</c:v>
                </c:pt>
                <c:pt idx="10">
                  <c:v>19.309999999999999</c:v>
                </c:pt>
                <c:pt idx="11">
                  <c:v>19.25</c:v>
                </c:pt>
                <c:pt idx="12">
                  <c:v>19.23</c:v>
                </c:pt>
                <c:pt idx="13">
                  <c:v>19.149999999999999</c:v>
                </c:pt>
                <c:pt idx="14">
                  <c:v>18.309999999999999</c:v>
                </c:pt>
                <c:pt idx="15">
                  <c:v>19.66</c:v>
                </c:pt>
                <c:pt idx="16">
                  <c:v>18.23</c:v>
                </c:pt>
                <c:pt idx="17">
                  <c:v>17.989999999999998</c:v>
                </c:pt>
                <c:pt idx="18">
                  <c:v>11.770830999999999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0-49BD-882C-E49E672B5AF1}"/>
            </c:ext>
          </c:extLst>
        </c:ser>
        <c:ser>
          <c:idx val="1"/>
          <c:order val="1"/>
          <c:tx>
            <c:strRef>
              <c:f>汇总!$D$29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汇总!$B$30:$B$48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ASTGCN</c:v>
                </c:pt>
                <c:pt idx="3">
                  <c:v>LSTM</c:v>
                </c:pt>
                <c:pt idx="4">
                  <c:v>STGCN</c:v>
                </c:pt>
                <c:pt idx="5">
                  <c:v>Tformer</c:v>
                </c:pt>
                <c:pt idx="6">
                  <c:v>StemGNN</c:v>
                </c:pt>
                <c:pt idx="7">
                  <c:v>DCRNN</c:v>
                </c:pt>
                <c:pt idx="8">
                  <c:v>DDSTGCN</c:v>
                </c:pt>
                <c:pt idx="9">
                  <c:v>GWNet</c:v>
                </c:pt>
                <c:pt idx="10">
                  <c:v>AGCRN</c:v>
                </c:pt>
                <c:pt idx="11">
                  <c:v>GMAN</c:v>
                </c:pt>
                <c:pt idx="12">
                  <c:v>MTGNN</c:v>
                </c:pt>
                <c:pt idx="13">
                  <c:v>STNorm</c:v>
                </c:pt>
                <c:pt idx="14">
                  <c:v>STID</c:v>
                </c:pt>
                <c:pt idx="15">
                  <c:v>Bi-STAT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汇总!$D$30:$D$48</c:f>
              <c:numCache>
                <c:formatCode>General</c:formatCode>
                <c:ptCount val="19"/>
                <c:pt idx="0">
                  <c:v>71.16</c:v>
                </c:pt>
                <c:pt idx="1">
                  <c:v>48.83</c:v>
                </c:pt>
                <c:pt idx="2">
                  <c:v>36.880000000000003</c:v>
                </c:pt>
                <c:pt idx="3">
                  <c:v>33.21</c:v>
                </c:pt>
                <c:pt idx="4">
                  <c:v>32.729999999999997</c:v>
                </c:pt>
                <c:pt idx="5">
                  <c:v>31.31</c:v>
                </c:pt>
                <c:pt idx="6">
                  <c:v>32.32</c:v>
                </c:pt>
                <c:pt idx="7">
                  <c:v>31.39</c:v>
                </c:pt>
                <c:pt idx="8">
                  <c:v>31.83</c:v>
                </c:pt>
                <c:pt idx="9">
                  <c:v>30.69</c:v>
                </c:pt>
                <c:pt idx="10">
                  <c:v>31.68</c:v>
                </c:pt>
                <c:pt idx="11">
                  <c:v>31.2</c:v>
                </c:pt>
                <c:pt idx="12">
                  <c:v>31.15</c:v>
                </c:pt>
                <c:pt idx="13">
                  <c:v>31.7</c:v>
                </c:pt>
                <c:pt idx="14">
                  <c:v>30.39</c:v>
                </c:pt>
                <c:pt idx="15">
                  <c:v>31.81</c:v>
                </c:pt>
                <c:pt idx="16">
                  <c:v>30.95</c:v>
                </c:pt>
                <c:pt idx="17">
                  <c:v>30</c:v>
                </c:pt>
                <c:pt idx="18">
                  <c:v>19.895852999999999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0-49BD-882C-E49E672B5AF1}"/>
            </c:ext>
          </c:extLst>
        </c:ser>
        <c:ser>
          <c:idx val="2"/>
          <c:order val="2"/>
          <c:tx>
            <c:strRef>
              <c:f>汇总!$E$29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汇总!$B$30:$B$48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ASTGCN</c:v>
                </c:pt>
                <c:pt idx="3">
                  <c:v>LSTM</c:v>
                </c:pt>
                <c:pt idx="4">
                  <c:v>STGCN</c:v>
                </c:pt>
                <c:pt idx="5">
                  <c:v>Tformer</c:v>
                </c:pt>
                <c:pt idx="6">
                  <c:v>StemGNN</c:v>
                </c:pt>
                <c:pt idx="7">
                  <c:v>DCRNN</c:v>
                </c:pt>
                <c:pt idx="8">
                  <c:v>DDSTGCN</c:v>
                </c:pt>
                <c:pt idx="9">
                  <c:v>GWNet</c:v>
                </c:pt>
                <c:pt idx="10">
                  <c:v>AGCRN</c:v>
                </c:pt>
                <c:pt idx="11">
                  <c:v>GMAN</c:v>
                </c:pt>
                <c:pt idx="12">
                  <c:v>MTGNN</c:v>
                </c:pt>
                <c:pt idx="13">
                  <c:v>STNorm</c:v>
                </c:pt>
                <c:pt idx="14">
                  <c:v>STID</c:v>
                </c:pt>
                <c:pt idx="15">
                  <c:v>Bi-STAT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汇总!$E$30:$E$48</c:f>
              <c:numCache>
                <c:formatCode>General</c:formatCode>
                <c:ptCount val="19"/>
                <c:pt idx="0">
                  <c:v>22.73</c:v>
                </c:pt>
                <c:pt idx="1">
                  <c:v>18.3</c:v>
                </c:pt>
                <c:pt idx="2">
                  <c:v>10.25</c:v>
                </c:pt>
                <c:pt idx="3">
                  <c:v>8.7900000000000009</c:v>
                </c:pt>
                <c:pt idx="4">
                  <c:v>8.68</c:v>
                </c:pt>
                <c:pt idx="5">
                  <c:v>9.07</c:v>
                </c:pt>
                <c:pt idx="6">
                  <c:v>8.27</c:v>
                </c:pt>
                <c:pt idx="7">
                  <c:v>8.2900000000000009</c:v>
                </c:pt>
                <c:pt idx="8">
                  <c:v>8.82</c:v>
                </c:pt>
                <c:pt idx="9">
                  <c:v>8.02</c:v>
                </c:pt>
                <c:pt idx="10">
                  <c:v>8.18</c:v>
                </c:pt>
                <c:pt idx="11">
                  <c:v>8.2100000000000009</c:v>
                </c:pt>
                <c:pt idx="12">
                  <c:v>8.5500000000000007</c:v>
                </c:pt>
                <c:pt idx="13">
                  <c:v>8.2600000000000016</c:v>
                </c:pt>
                <c:pt idx="14">
                  <c:v>7.7200000000000006</c:v>
                </c:pt>
                <c:pt idx="15">
                  <c:v>8.36</c:v>
                </c:pt>
                <c:pt idx="16">
                  <c:v>7.61</c:v>
                </c:pt>
                <c:pt idx="17">
                  <c:v>7.6</c:v>
                </c:pt>
                <c:pt idx="18">
                  <c:v>5.9901749999999998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90-49BD-882C-E49E672B5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12607"/>
        <c:axId val="791913087"/>
      </c:lineChart>
      <c:catAx>
        <c:axId val="79191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3087"/>
        <c:crosses val="autoZero"/>
        <c:auto val="1"/>
        <c:lblAlgn val="ctr"/>
        <c:lblOffset val="100"/>
        <c:noMultiLvlLbl val="0"/>
      </c:catAx>
      <c:valAx>
        <c:axId val="7919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472C4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905006072553167"/>
          <c:y val="6.7895084543003567E-2"/>
          <c:w val="0.3904229007239074"/>
          <c:h val="6.377595657685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PEMS07 30</a:t>
            </a:r>
            <a:r>
              <a:rPr lang="zh-CN" altLang="en-US"/>
              <a:t>分钟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6186436611035437E-2"/>
          <c:y val="0.14792574471880335"/>
          <c:w val="0.910995935634628"/>
          <c:h val="0.65487687825429586"/>
        </c:manualLayout>
      </c:layout>
      <c:lineChart>
        <c:grouping val="standard"/>
        <c:varyColors val="0"/>
        <c:ser>
          <c:idx val="0"/>
          <c:order val="0"/>
          <c:tx>
            <c:strRef>
              <c:f>汇总!$F$29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汇总!$B$30:$B$48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ASTGCN</c:v>
                </c:pt>
                <c:pt idx="3">
                  <c:v>LSTM</c:v>
                </c:pt>
                <c:pt idx="4">
                  <c:v>STGCN</c:v>
                </c:pt>
                <c:pt idx="5">
                  <c:v>Tformer</c:v>
                </c:pt>
                <c:pt idx="6">
                  <c:v>StemGNN</c:v>
                </c:pt>
                <c:pt idx="7">
                  <c:v>DCRNN</c:v>
                </c:pt>
                <c:pt idx="8">
                  <c:v>DDSTGCN</c:v>
                </c:pt>
                <c:pt idx="9">
                  <c:v>GWNet</c:v>
                </c:pt>
                <c:pt idx="10">
                  <c:v>AGCRN</c:v>
                </c:pt>
                <c:pt idx="11">
                  <c:v>GMAN</c:v>
                </c:pt>
                <c:pt idx="12">
                  <c:v>MTGNN</c:v>
                </c:pt>
                <c:pt idx="13">
                  <c:v>STNorm</c:v>
                </c:pt>
                <c:pt idx="14">
                  <c:v>STID</c:v>
                </c:pt>
                <c:pt idx="15">
                  <c:v>Bi-STAT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汇总!$F$30:$F$48</c:f>
              <c:numCache>
                <c:formatCode>General</c:formatCode>
                <c:ptCount val="19"/>
                <c:pt idx="0">
                  <c:v>49.03</c:v>
                </c:pt>
                <c:pt idx="1">
                  <c:v>35.18</c:v>
                </c:pt>
                <c:pt idx="2">
                  <c:v>28.77</c:v>
                </c:pt>
                <c:pt idx="3">
                  <c:v>23.18</c:v>
                </c:pt>
                <c:pt idx="4">
                  <c:v>21.66</c:v>
                </c:pt>
                <c:pt idx="5">
                  <c:v>22.1</c:v>
                </c:pt>
                <c:pt idx="6">
                  <c:v>22.07</c:v>
                </c:pt>
                <c:pt idx="7">
                  <c:v>21.18</c:v>
                </c:pt>
                <c:pt idx="8">
                  <c:v>27.42</c:v>
                </c:pt>
                <c:pt idx="9">
                  <c:v>20.260000000000002</c:v>
                </c:pt>
                <c:pt idx="10">
                  <c:v>20.7</c:v>
                </c:pt>
                <c:pt idx="11">
                  <c:v>20.329999999999998</c:v>
                </c:pt>
                <c:pt idx="12">
                  <c:v>20.83</c:v>
                </c:pt>
                <c:pt idx="13">
                  <c:v>20.63</c:v>
                </c:pt>
                <c:pt idx="14">
                  <c:v>19.59</c:v>
                </c:pt>
                <c:pt idx="15">
                  <c:v>21.44</c:v>
                </c:pt>
                <c:pt idx="16">
                  <c:v>19.48</c:v>
                </c:pt>
                <c:pt idx="17">
                  <c:v>19.52</c:v>
                </c:pt>
                <c:pt idx="18">
                  <c:v>15.757262000000001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FD-4D65-ABD0-D2CB80E41FF9}"/>
            </c:ext>
          </c:extLst>
        </c:ser>
        <c:ser>
          <c:idx val="1"/>
          <c:order val="1"/>
          <c:tx>
            <c:strRef>
              <c:f>汇总!$G$29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汇总!$B$30:$B$48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ASTGCN</c:v>
                </c:pt>
                <c:pt idx="3">
                  <c:v>LSTM</c:v>
                </c:pt>
                <c:pt idx="4">
                  <c:v>STGCN</c:v>
                </c:pt>
                <c:pt idx="5">
                  <c:v>Tformer</c:v>
                </c:pt>
                <c:pt idx="6">
                  <c:v>StemGNN</c:v>
                </c:pt>
                <c:pt idx="7">
                  <c:v>DCRNN</c:v>
                </c:pt>
                <c:pt idx="8">
                  <c:v>DDSTGCN</c:v>
                </c:pt>
                <c:pt idx="9">
                  <c:v>GWNet</c:v>
                </c:pt>
                <c:pt idx="10">
                  <c:v>AGCRN</c:v>
                </c:pt>
                <c:pt idx="11">
                  <c:v>GMAN</c:v>
                </c:pt>
                <c:pt idx="12">
                  <c:v>MTGNN</c:v>
                </c:pt>
                <c:pt idx="13">
                  <c:v>STNorm</c:v>
                </c:pt>
                <c:pt idx="14">
                  <c:v>STID</c:v>
                </c:pt>
                <c:pt idx="15">
                  <c:v>Bi-STAT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汇总!$G$30:$G$48</c:f>
              <c:numCache>
                <c:formatCode>General</c:formatCode>
                <c:ptCount val="19"/>
                <c:pt idx="0">
                  <c:v>71.180000000000007</c:v>
                </c:pt>
                <c:pt idx="1">
                  <c:v>52.91</c:v>
                </c:pt>
                <c:pt idx="2">
                  <c:v>43.89</c:v>
                </c:pt>
                <c:pt idx="3">
                  <c:v>37.54</c:v>
                </c:pt>
                <c:pt idx="4">
                  <c:v>35.35</c:v>
                </c:pt>
                <c:pt idx="5">
                  <c:v>34.19</c:v>
                </c:pt>
                <c:pt idx="6">
                  <c:v>36.159999999999997</c:v>
                </c:pt>
                <c:pt idx="7">
                  <c:v>34.42</c:v>
                </c:pt>
                <c:pt idx="8">
                  <c:v>41.87</c:v>
                </c:pt>
                <c:pt idx="9">
                  <c:v>33.369999999999997</c:v>
                </c:pt>
                <c:pt idx="10">
                  <c:v>34.520000000000003</c:v>
                </c:pt>
                <c:pt idx="11">
                  <c:v>33.299999999999997</c:v>
                </c:pt>
                <c:pt idx="12">
                  <c:v>33.93</c:v>
                </c:pt>
                <c:pt idx="13">
                  <c:v>35.1</c:v>
                </c:pt>
                <c:pt idx="14">
                  <c:v>32.9</c:v>
                </c:pt>
                <c:pt idx="15">
                  <c:v>34.700000000000003</c:v>
                </c:pt>
                <c:pt idx="16">
                  <c:v>33.32</c:v>
                </c:pt>
                <c:pt idx="17">
                  <c:v>32.65</c:v>
                </c:pt>
                <c:pt idx="18">
                  <c:v>26.012108000000001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FD-4D65-ABD0-D2CB80E41FF9}"/>
            </c:ext>
          </c:extLst>
        </c:ser>
        <c:ser>
          <c:idx val="2"/>
          <c:order val="2"/>
          <c:tx>
            <c:strRef>
              <c:f>汇总!$H$53</c:f>
              <c:strCache>
                <c:ptCount val="1"/>
                <c:pt idx="0">
                  <c:v>MAPE%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汇总!$B$30:$B$48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ASTGCN</c:v>
                </c:pt>
                <c:pt idx="3">
                  <c:v>LSTM</c:v>
                </c:pt>
                <c:pt idx="4">
                  <c:v>STGCN</c:v>
                </c:pt>
                <c:pt idx="5">
                  <c:v>Tformer</c:v>
                </c:pt>
                <c:pt idx="6">
                  <c:v>StemGNN</c:v>
                </c:pt>
                <c:pt idx="7">
                  <c:v>DCRNN</c:v>
                </c:pt>
                <c:pt idx="8">
                  <c:v>DDSTGCN</c:v>
                </c:pt>
                <c:pt idx="9">
                  <c:v>GWNet</c:v>
                </c:pt>
                <c:pt idx="10">
                  <c:v>AGCRN</c:v>
                </c:pt>
                <c:pt idx="11">
                  <c:v>GMAN</c:v>
                </c:pt>
                <c:pt idx="12">
                  <c:v>MTGNN</c:v>
                </c:pt>
                <c:pt idx="13">
                  <c:v>STNorm</c:v>
                </c:pt>
                <c:pt idx="14">
                  <c:v>STID</c:v>
                </c:pt>
                <c:pt idx="15">
                  <c:v>Bi-STAT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汇总!$H$54:$H$72</c:f>
              <c:numCache>
                <c:formatCode>General</c:formatCode>
                <c:ptCount val="19"/>
                <c:pt idx="0">
                  <c:v>21.63</c:v>
                </c:pt>
                <c:pt idx="1">
                  <c:v>14.23</c:v>
                </c:pt>
                <c:pt idx="2">
                  <c:v>17.32</c:v>
                </c:pt>
                <c:pt idx="3">
                  <c:v>11.12</c:v>
                </c:pt>
                <c:pt idx="4">
                  <c:v>11.77</c:v>
                </c:pt>
                <c:pt idx="5">
                  <c:v>10.42</c:v>
                </c:pt>
                <c:pt idx="6">
                  <c:v>10.34</c:v>
                </c:pt>
                <c:pt idx="7">
                  <c:v>10.780000000000001</c:v>
                </c:pt>
                <c:pt idx="8">
                  <c:v>9.98</c:v>
                </c:pt>
                <c:pt idx="9">
                  <c:v>10.39</c:v>
                </c:pt>
                <c:pt idx="10">
                  <c:v>10.54</c:v>
                </c:pt>
                <c:pt idx="11">
                  <c:v>9.9</c:v>
                </c:pt>
                <c:pt idx="12">
                  <c:v>9.52</c:v>
                </c:pt>
                <c:pt idx="13">
                  <c:v>9.5699999999999985</c:v>
                </c:pt>
                <c:pt idx="14">
                  <c:v>9.49</c:v>
                </c:pt>
                <c:pt idx="15">
                  <c:v>9.24</c:v>
                </c:pt>
                <c:pt idx="16">
                  <c:v>9.4</c:v>
                </c:pt>
                <c:pt idx="17">
                  <c:v>8.65</c:v>
                </c:pt>
                <c:pt idx="18">
                  <c:v>7.30966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FD-4D65-ABD0-D2CB80E41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12607"/>
        <c:axId val="791913087"/>
      </c:lineChart>
      <c:catAx>
        <c:axId val="79191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3087"/>
        <c:crosses val="autoZero"/>
        <c:auto val="1"/>
        <c:lblAlgn val="ctr"/>
        <c:lblOffset val="100"/>
        <c:noMultiLvlLbl val="0"/>
      </c:catAx>
      <c:valAx>
        <c:axId val="7919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472C4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905006072553167"/>
          <c:y val="6.7895084543003567E-2"/>
          <c:w val="0.3904229007239074"/>
          <c:h val="6.377595657685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PEMS08 15</a:t>
            </a:r>
            <a:r>
              <a:rPr lang="zh-CN" altLang="en-US"/>
              <a:t>分钟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6186436611035437E-2"/>
          <c:y val="0.14792574471880335"/>
          <c:w val="0.910995935634628"/>
          <c:h val="0.65487687825429586"/>
        </c:manualLayout>
      </c:layout>
      <c:lineChart>
        <c:grouping val="standard"/>
        <c:varyColors val="0"/>
        <c:ser>
          <c:idx val="0"/>
          <c:order val="0"/>
          <c:tx>
            <c:strRef>
              <c:f>汇总!$C$53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汇总!$B$54:$B$72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ASTGCN</c:v>
                </c:pt>
                <c:pt idx="4">
                  <c:v>Tformer</c:v>
                </c:pt>
                <c:pt idx="5">
                  <c:v>STGCN</c:v>
                </c:pt>
                <c:pt idx="6">
                  <c:v>AGCRN</c:v>
                </c:pt>
                <c:pt idx="7">
                  <c:v>StemGNN</c:v>
                </c:pt>
                <c:pt idx="8">
                  <c:v>STNorm</c:v>
                </c:pt>
                <c:pt idx="9">
                  <c:v>DDSTGCN</c:v>
                </c:pt>
                <c:pt idx="10">
                  <c:v>MTGNN</c:v>
                </c:pt>
                <c:pt idx="11">
                  <c:v>DCRNN</c:v>
                </c:pt>
                <c:pt idx="12">
                  <c:v>Bi-STAT</c:v>
                </c:pt>
                <c:pt idx="13">
                  <c:v>GMAN</c:v>
                </c:pt>
                <c:pt idx="14">
                  <c:v>GWNet</c:v>
                </c:pt>
                <c:pt idx="15">
                  <c:v>STID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汇总!$C$54:$C$72</c:f>
              <c:numCache>
                <c:formatCode>General</c:formatCode>
                <c:ptCount val="19"/>
                <c:pt idx="0">
                  <c:v>34.549999999999997</c:v>
                </c:pt>
                <c:pt idx="1">
                  <c:v>19.52</c:v>
                </c:pt>
                <c:pt idx="2">
                  <c:v>17.38</c:v>
                </c:pt>
                <c:pt idx="3">
                  <c:v>16.36</c:v>
                </c:pt>
                <c:pt idx="4">
                  <c:v>15.41</c:v>
                </c:pt>
                <c:pt idx="5">
                  <c:v>14.95</c:v>
                </c:pt>
                <c:pt idx="6">
                  <c:v>14.51</c:v>
                </c:pt>
                <c:pt idx="7">
                  <c:v>14.49</c:v>
                </c:pt>
                <c:pt idx="8">
                  <c:v>14.44</c:v>
                </c:pt>
                <c:pt idx="9">
                  <c:v>14.31</c:v>
                </c:pt>
                <c:pt idx="10">
                  <c:v>14.3</c:v>
                </c:pt>
                <c:pt idx="11">
                  <c:v>14.16</c:v>
                </c:pt>
                <c:pt idx="12">
                  <c:v>13.92</c:v>
                </c:pt>
                <c:pt idx="13">
                  <c:v>13.8</c:v>
                </c:pt>
                <c:pt idx="14">
                  <c:v>13.72</c:v>
                </c:pt>
                <c:pt idx="15">
                  <c:v>13.28</c:v>
                </c:pt>
                <c:pt idx="16">
                  <c:v>12.77</c:v>
                </c:pt>
                <c:pt idx="17">
                  <c:v>12.41</c:v>
                </c:pt>
                <c:pt idx="18">
                  <c:v>9.9816520000000004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B6-474B-A252-6E891835FF84}"/>
            </c:ext>
          </c:extLst>
        </c:ser>
        <c:ser>
          <c:idx val="1"/>
          <c:order val="1"/>
          <c:tx>
            <c:strRef>
              <c:f>汇总!$D$53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汇总!$B$54:$B$72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ASTGCN</c:v>
                </c:pt>
                <c:pt idx="4">
                  <c:v>Tformer</c:v>
                </c:pt>
                <c:pt idx="5">
                  <c:v>STGCN</c:v>
                </c:pt>
                <c:pt idx="6">
                  <c:v>AGCRN</c:v>
                </c:pt>
                <c:pt idx="7">
                  <c:v>StemGNN</c:v>
                </c:pt>
                <c:pt idx="8">
                  <c:v>STNorm</c:v>
                </c:pt>
                <c:pt idx="9">
                  <c:v>DDSTGCN</c:v>
                </c:pt>
                <c:pt idx="10">
                  <c:v>MTGNN</c:v>
                </c:pt>
                <c:pt idx="11">
                  <c:v>DCRNN</c:v>
                </c:pt>
                <c:pt idx="12">
                  <c:v>Bi-STAT</c:v>
                </c:pt>
                <c:pt idx="13">
                  <c:v>GMAN</c:v>
                </c:pt>
                <c:pt idx="14">
                  <c:v>GWNet</c:v>
                </c:pt>
                <c:pt idx="15">
                  <c:v>STID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汇总!$D$54:$D$72</c:f>
              <c:numCache>
                <c:formatCode>General</c:formatCode>
                <c:ptCount val="19"/>
                <c:pt idx="0">
                  <c:v>50.41</c:v>
                </c:pt>
                <c:pt idx="1">
                  <c:v>29.73</c:v>
                </c:pt>
                <c:pt idx="2">
                  <c:v>26.27</c:v>
                </c:pt>
                <c:pt idx="3">
                  <c:v>25.24</c:v>
                </c:pt>
                <c:pt idx="4">
                  <c:v>22.98</c:v>
                </c:pt>
                <c:pt idx="5">
                  <c:v>23.48</c:v>
                </c:pt>
                <c:pt idx="6">
                  <c:v>22.87</c:v>
                </c:pt>
                <c:pt idx="7">
                  <c:v>23.02</c:v>
                </c:pt>
                <c:pt idx="8">
                  <c:v>22.68</c:v>
                </c:pt>
                <c:pt idx="9">
                  <c:v>22.45</c:v>
                </c:pt>
                <c:pt idx="10">
                  <c:v>22.55</c:v>
                </c:pt>
                <c:pt idx="11">
                  <c:v>22.2</c:v>
                </c:pt>
                <c:pt idx="12">
                  <c:v>22.32</c:v>
                </c:pt>
                <c:pt idx="13">
                  <c:v>22.88</c:v>
                </c:pt>
                <c:pt idx="14">
                  <c:v>21.71</c:v>
                </c:pt>
                <c:pt idx="15">
                  <c:v>21.66</c:v>
                </c:pt>
                <c:pt idx="16">
                  <c:v>21.71</c:v>
                </c:pt>
                <c:pt idx="17">
                  <c:v>21.06</c:v>
                </c:pt>
                <c:pt idx="18">
                  <c:v>15.900976999999999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B6-474B-A252-6E891835FF84}"/>
            </c:ext>
          </c:extLst>
        </c:ser>
        <c:ser>
          <c:idx val="2"/>
          <c:order val="2"/>
          <c:tx>
            <c:strRef>
              <c:f>汇总!$E$53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汇总!$B$54:$B$72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ASTGCN</c:v>
                </c:pt>
                <c:pt idx="4">
                  <c:v>Tformer</c:v>
                </c:pt>
                <c:pt idx="5">
                  <c:v>STGCN</c:v>
                </c:pt>
                <c:pt idx="6">
                  <c:v>AGCRN</c:v>
                </c:pt>
                <c:pt idx="7">
                  <c:v>StemGNN</c:v>
                </c:pt>
                <c:pt idx="8">
                  <c:v>STNorm</c:v>
                </c:pt>
                <c:pt idx="9">
                  <c:v>DDSTGCN</c:v>
                </c:pt>
                <c:pt idx="10">
                  <c:v>MTGNN</c:v>
                </c:pt>
                <c:pt idx="11">
                  <c:v>DCRNN</c:v>
                </c:pt>
                <c:pt idx="12">
                  <c:v>Bi-STAT</c:v>
                </c:pt>
                <c:pt idx="13">
                  <c:v>GMAN</c:v>
                </c:pt>
                <c:pt idx="14">
                  <c:v>GWNet</c:v>
                </c:pt>
                <c:pt idx="15">
                  <c:v>STID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汇总!$E$54:$E$72</c:f>
              <c:numCache>
                <c:formatCode>General</c:formatCode>
                <c:ptCount val="19"/>
                <c:pt idx="0">
                  <c:v>21.6</c:v>
                </c:pt>
                <c:pt idx="1">
                  <c:v>12.540000000000001</c:v>
                </c:pt>
                <c:pt idx="2">
                  <c:v>12.629999999999999</c:v>
                </c:pt>
                <c:pt idx="3">
                  <c:v>10.01</c:v>
                </c:pt>
                <c:pt idx="4">
                  <c:v>10.14</c:v>
                </c:pt>
                <c:pt idx="5">
                  <c:v>9.8699999999999992</c:v>
                </c:pt>
                <c:pt idx="6">
                  <c:v>9.34</c:v>
                </c:pt>
                <c:pt idx="7">
                  <c:v>9.73</c:v>
                </c:pt>
                <c:pt idx="8">
                  <c:v>9.32</c:v>
                </c:pt>
                <c:pt idx="9">
                  <c:v>9.7100000000000009</c:v>
                </c:pt>
                <c:pt idx="10">
                  <c:v>10.56</c:v>
                </c:pt>
                <c:pt idx="11">
                  <c:v>9.31</c:v>
                </c:pt>
                <c:pt idx="12">
                  <c:v>9.02</c:v>
                </c:pt>
                <c:pt idx="13">
                  <c:v>9.41</c:v>
                </c:pt>
                <c:pt idx="14">
                  <c:v>8.7999999999999989</c:v>
                </c:pt>
                <c:pt idx="15">
                  <c:v>8.6199999999999992</c:v>
                </c:pt>
                <c:pt idx="16">
                  <c:v>8.5</c:v>
                </c:pt>
                <c:pt idx="17">
                  <c:v>8.09</c:v>
                </c:pt>
                <c:pt idx="18">
                  <c:v>7.2706489999999997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B6-474B-A252-6E891835F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12607"/>
        <c:axId val="791913087"/>
      </c:lineChart>
      <c:catAx>
        <c:axId val="79191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3087"/>
        <c:crosses val="autoZero"/>
        <c:auto val="1"/>
        <c:lblAlgn val="ctr"/>
        <c:lblOffset val="100"/>
        <c:noMultiLvlLbl val="0"/>
      </c:catAx>
      <c:valAx>
        <c:axId val="7919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472C4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905006072553167"/>
          <c:y val="6.7895084543003567E-2"/>
          <c:w val="0.3904229007239074"/>
          <c:h val="6.377595657685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PEMS08 30</a:t>
            </a:r>
            <a:r>
              <a:rPr lang="zh-CN" altLang="en-US"/>
              <a:t>分钟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6186436611035437E-2"/>
          <c:y val="0.14792574471880335"/>
          <c:w val="0.910995935634628"/>
          <c:h val="0.65487687825429586"/>
        </c:manualLayout>
      </c:layout>
      <c:lineChart>
        <c:grouping val="standard"/>
        <c:varyColors val="0"/>
        <c:ser>
          <c:idx val="0"/>
          <c:order val="0"/>
          <c:tx>
            <c:strRef>
              <c:f>汇总!$F$53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汇总!$B$54:$B$72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ASTGCN</c:v>
                </c:pt>
                <c:pt idx="4">
                  <c:v>Tformer</c:v>
                </c:pt>
                <c:pt idx="5">
                  <c:v>STGCN</c:v>
                </c:pt>
                <c:pt idx="6">
                  <c:v>AGCRN</c:v>
                </c:pt>
                <c:pt idx="7">
                  <c:v>StemGNN</c:v>
                </c:pt>
                <c:pt idx="8">
                  <c:v>STNorm</c:v>
                </c:pt>
                <c:pt idx="9">
                  <c:v>DDSTGCN</c:v>
                </c:pt>
                <c:pt idx="10">
                  <c:v>MTGNN</c:v>
                </c:pt>
                <c:pt idx="11">
                  <c:v>DCRNN</c:v>
                </c:pt>
                <c:pt idx="12">
                  <c:v>Bi-STAT</c:v>
                </c:pt>
                <c:pt idx="13">
                  <c:v>GMAN</c:v>
                </c:pt>
                <c:pt idx="14">
                  <c:v>GWNet</c:v>
                </c:pt>
                <c:pt idx="15">
                  <c:v>STID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汇总!$F$54:$F$72</c:f>
              <c:numCache>
                <c:formatCode>General</c:formatCode>
                <c:ptCount val="19"/>
                <c:pt idx="0">
                  <c:v>34.57</c:v>
                </c:pt>
                <c:pt idx="1">
                  <c:v>22.25</c:v>
                </c:pt>
                <c:pt idx="2">
                  <c:v>21.22</c:v>
                </c:pt>
                <c:pt idx="3">
                  <c:v>18.38</c:v>
                </c:pt>
                <c:pt idx="4">
                  <c:v>16.829999999999998</c:v>
                </c:pt>
                <c:pt idx="5">
                  <c:v>15.92</c:v>
                </c:pt>
                <c:pt idx="6">
                  <c:v>15.66</c:v>
                </c:pt>
                <c:pt idx="7">
                  <c:v>15.84</c:v>
                </c:pt>
                <c:pt idx="8">
                  <c:v>15.53</c:v>
                </c:pt>
                <c:pt idx="9">
                  <c:v>15.44</c:v>
                </c:pt>
                <c:pt idx="10">
                  <c:v>15.25</c:v>
                </c:pt>
                <c:pt idx="11">
                  <c:v>15.24</c:v>
                </c:pt>
                <c:pt idx="12">
                  <c:v>14.64</c:v>
                </c:pt>
                <c:pt idx="13">
                  <c:v>14.62</c:v>
                </c:pt>
                <c:pt idx="14">
                  <c:v>14.67</c:v>
                </c:pt>
                <c:pt idx="15">
                  <c:v>14.21</c:v>
                </c:pt>
                <c:pt idx="16">
                  <c:v>13.69</c:v>
                </c:pt>
                <c:pt idx="17">
                  <c:v>13.28</c:v>
                </c:pt>
                <c:pt idx="18">
                  <c:v>11.057342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2-40BE-AB4D-2101C3164753}"/>
            </c:ext>
          </c:extLst>
        </c:ser>
        <c:ser>
          <c:idx val="1"/>
          <c:order val="1"/>
          <c:tx>
            <c:strRef>
              <c:f>汇总!$G$53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汇总!$B$54:$B$72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ASTGCN</c:v>
                </c:pt>
                <c:pt idx="4">
                  <c:v>Tformer</c:v>
                </c:pt>
                <c:pt idx="5">
                  <c:v>STGCN</c:v>
                </c:pt>
                <c:pt idx="6">
                  <c:v>AGCRN</c:v>
                </c:pt>
                <c:pt idx="7">
                  <c:v>StemGNN</c:v>
                </c:pt>
                <c:pt idx="8">
                  <c:v>STNorm</c:v>
                </c:pt>
                <c:pt idx="9">
                  <c:v>DDSTGCN</c:v>
                </c:pt>
                <c:pt idx="10">
                  <c:v>MTGNN</c:v>
                </c:pt>
                <c:pt idx="11">
                  <c:v>DCRNN</c:v>
                </c:pt>
                <c:pt idx="12">
                  <c:v>Bi-STAT</c:v>
                </c:pt>
                <c:pt idx="13">
                  <c:v>GMAN</c:v>
                </c:pt>
                <c:pt idx="14">
                  <c:v>GWNet</c:v>
                </c:pt>
                <c:pt idx="15">
                  <c:v>STID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汇总!$G$54:$G$72</c:f>
              <c:numCache>
                <c:formatCode>General</c:formatCode>
                <c:ptCount val="19"/>
                <c:pt idx="0">
                  <c:v>50.43</c:v>
                </c:pt>
                <c:pt idx="1">
                  <c:v>33.299999999999997</c:v>
                </c:pt>
                <c:pt idx="2">
                  <c:v>31.97</c:v>
                </c:pt>
                <c:pt idx="3">
                  <c:v>28.34</c:v>
                </c:pt>
                <c:pt idx="4">
                  <c:v>25.11</c:v>
                </c:pt>
                <c:pt idx="5">
                  <c:v>25.36</c:v>
                </c:pt>
                <c:pt idx="6">
                  <c:v>25</c:v>
                </c:pt>
                <c:pt idx="7">
                  <c:v>25.38</c:v>
                </c:pt>
                <c:pt idx="8">
                  <c:v>25.07</c:v>
                </c:pt>
                <c:pt idx="9">
                  <c:v>24.42</c:v>
                </c:pt>
                <c:pt idx="10">
                  <c:v>24.41</c:v>
                </c:pt>
                <c:pt idx="11">
                  <c:v>24.26</c:v>
                </c:pt>
                <c:pt idx="12">
                  <c:v>23.75</c:v>
                </c:pt>
                <c:pt idx="13">
                  <c:v>24.12</c:v>
                </c:pt>
                <c:pt idx="14">
                  <c:v>23.5</c:v>
                </c:pt>
                <c:pt idx="15">
                  <c:v>23.57</c:v>
                </c:pt>
                <c:pt idx="16">
                  <c:v>23.47</c:v>
                </c:pt>
                <c:pt idx="17">
                  <c:v>22.83</c:v>
                </c:pt>
                <c:pt idx="18">
                  <c:v>18.392821999999999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2-40BE-AB4D-2101C3164753}"/>
            </c:ext>
          </c:extLst>
        </c:ser>
        <c:ser>
          <c:idx val="2"/>
          <c:order val="2"/>
          <c:tx>
            <c:strRef>
              <c:f>汇总!$H$53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汇总!$B$54:$B$72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ASTGCN</c:v>
                </c:pt>
                <c:pt idx="4">
                  <c:v>Tformer</c:v>
                </c:pt>
                <c:pt idx="5">
                  <c:v>STGCN</c:v>
                </c:pt>
                <c:pt idx="6">
                  <c:v>AGCRN</c:v>
                </c:pt>
                <c:pt idx="7">
                  <c:v>StemGNN</c:v>
                </c:pt>
                <c:pt idx="8">
                  <c:v>STNorm</c:v>
                </c:pt>
                <c:pt idx="9">
                  <c:v>DDSTGCN</c:v>
                </c:pt>
                <c:pt idx="10">
                  <c:v>MTGNN</c:v>
                </c:pt>
                <c:pt idx="11">
                  <c:v>DCRNN</c:v>
                </c:pt>
                <c:pt idx="12">
                  <c:v>Bi-STAT</c:v>
                </c:pt>
                <c:pt idx="13">
                  <c:v>GMAN</c:v>
                </c:pt>
                <c:pt idx="14">
                  <c:v>GWNet</c:v>
                </c:pt>
                <c:pt idx="15">
                  <c:v>STID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汇总!$H$54:$H$72</c:f>
              <c:numCache>
                <c:formatCode>General</c:formatCode>
                <c:ptCount val="19"/>
                <c:pt idx="0">
                  <c:v>21.63</c:v>
                </c:pt>
                <c:pt idx="1">
                  <c:v>14.23</c:v>
                </c:pt>
                <c:pt idx="2">
                  <c:v>17.32</c:v>
                </c:pt>
                <c:pt idx="3">
                  <c:v>11.12</c:v>
                </c:pt>
                <c:pt idx="4">
                  <c:v>11.77</c:v>
                </c:pt>
                <c:pt idx="5">
                  <c:v>10.42</c:v>
                </c:pt>
                <c:pt idx="6">
                  <c:v>10.34</c:v>
                </c:pt>
                <c:pt idx="7">
                  <c:v>10.780000000000001</c:v>
                </c:pt>
                <c:pt idx="8">
                  <c:v>9.98</c:v>
                </c:pt>
                <c:pt idx="9">
                  <c:v>10.39</c:v>
                </c:pt>
                <c:pt idx="10">
                  <c:v>10.54</c:v>
                </c:pt>
                <c:pt idx="11">
                  <c:v>9.9</c:v>
                </c:pt>
                <c:pt idx="12">
                  <c:v>9.52</c:v>
                </c:pt>
                <c:pt idx="13">
                  <c:v>9.5699999999999985</c:v>
                </c:pt>
                <c:pt idx="14">
                  <c:v>9.49</c:v>
                </c:pt>
                <c:pt idx="15">
                  <c:v>9.24</c:v>
                </c:pt>
                <c:pt idx="16">
                  <c:v>9.4</c:v>
                </c:pt>
                <c:pt idx="17">
                  <c:v>8.65</c:v>
                </c:pt>
                <c:pt idx="18">
                  <c:v>7.30966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A2-40BE-AB4D-2101C3164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12607"/>
        <c:axId val="791913087"/>
      </c:lineChart>
      <c:catAx>
        <c:axId val="79191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3087"/>
        <c:crosses val="autoZero"/>
        <c:auto val="1"/>
        <c:lblAlgn val="ctr"/>
        <c:lblOffset val="100"/>
        <c:noMultiLvlLbl val="0"/>
      </c:catAx>
      <c:valAx>
        <c:axId val="7919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472C4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905006072553167"/>
          <c:y val="6.7895084543003567E-2"/>
          <c:w val="0.3904229007239074"/>
          <c:h val="6.377595657685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PEMS08 60</a:t>
            </a:r>
            <a:r>
              <a:rPr lang="zh-CN" altLang="en-US"/>
              <a:t>分钟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6186436611035437E-2"/>
          <c:y val="0.14792574471880335"/>
          <c:w val="0.910995935634628"/>
          <c:h val="0.65487687825429586"/>
        </c:manualLayout>
      </c:layout>
      <c:lineChart>
        <c:grouping val="standard"/>
        <c:varyColors val="0"/>
        <c:ser>
          <c:idx val="0"/>
          <c:order val="0"/>
          <c:tx>
            <c:strRef>
              <c:f>汇总!$I$53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汇总!$B$54:$B$72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ASTGCN</c:v>
                </c:pt>
                <c:pt idx="4">
                  <c:v>Tformer</c:v>
                </c:pt>
                <c:pt idx="5">
                  <c:v>STGCN</c:v>
                </c:pt>
                <c:pt idx="6">
                  <c:v>AGCRN</c:v>
                </c:pt>
                <c:pt idx="7">
                  <c:v>StemGNN</c:v>
                </c:pt>
                <c:pt idx="8">
                  <c:v>STNorm</c:v>
                </c:pt>
                <c:pt idx="9">
                  <c:v>DDSTGCN</c:v>
                </c:pt>
                <c:pt idx="10">
                  <c:v>MTGNN</c:v>
                </c:pt>
                <c:pt idx="11">
                  <c:v>DCRNN</c:v>
                </c:pt>
                <c:pt idx="12">
                  <c:v>Bi-STAT</c:v>
                </c:pt>
                <c:pt idx="13">
                  <c:v>GMAN</c:v>
                </c:pt>
                <c:pt idx="14">
                  <c:v>GWNet</c:v>
                </c:pt>
                <c:pt idx="15">
                  <c:v>STID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汇总!$I$54:$I$72</c:f>
              <c:numCache>
                <c:formatCode>General</c:formatCode>
                <c:ptCount val="19"/>
                <c:pt idx="0">
                  <c:v>34.590000000000003</c:v>
                </c:pt>
                <c:pt idx="1">
                  <c:v>26.17</c:v>
                </c:pt>
                <c:pt idx="2">
                  <c:v>30.69</c:v>
                </c:pt>
                <c:pt idx="3">
                  <c:v>22.6</c:v>
                </c:pt>
                <c:pt idx="4">
                  <c:v>19.079999999999998</c:v>
                </c:pt>
                <c:pt idx="5">
                  <c:v>17.649999999999999</c:v>
                </c:pt>
                <c:pt idx="6">
                  <c:v>17.489999999999998</c:v>
                </c:pt>
                <c:pt idx="7">
                  <c:v>18.100000000000001</c:v>
                </c:pt>
                <c:pt idx="8">
                  <c:v>17.2</c:v>
                </c:pt>
                <c:pt idx="9">
                  <c:v>17.420000000000002</c:v>
                </c:pt>
                <c:pt idx="10">
                  <c:v>16.8</c:v>
                </c:pt>
                <c:pt idx="11">
                  <c:v>17.7</c:v>
                </c:pt>
                <c:pt idx="12">
                  <c:v>16.14</c:v>
                </c:pt>
                <c:pt idx="13">
                  <c:v>15.72</c:v>
                </c:pt>
                <c:pt idx="14">
                  <c:v>16.149999999999999</c:v>
                </c:pt>
                <c:pt idx="15">
                  <c:v>15.58</c:v>
                </c:pt>
                <c:pt idx="16">
                  <c:v>14.98</c:v>
                </c:pt>
                <c:pt idx="17">
                  <c:v>14.48</c:v>
                </c:pt>
                <c:pt idx="18">
                  <c:v>16.354727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E-4B17-BAE3-AE88F69DCDFF}"/>
            </c:ext>
          </c:extLst>
        </c:ser>
        <c:ser>
          <c:idx val="1"/>
          <c:order val="1"/>
          <c:tx>
            <c:strRef>
              <c:f>汇总!$J$53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汇总!$B$54:$B$72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ASTGCN</c:v>
                </c:pt>
                <c:pt idx="4">
                  <c:v>Tformer</c:v>
                </c:pt>
                <c:pt idx="5">
                  <c:v>STGCN</c:v>
                </c:pt>
                <c:pt idx="6">
                  <c:v>AGCRN</c:v>
                </c:pt>
                <c:pt idx="7">
                  <c:v>StemGNN</c:v>
                </c:pt>
                <c:pt idx="8">
                  <c:v>STNorm</c:v>
                </c:pt>
                <c:pt idx="9">
                  <c:v>DDSTGCN</c:v>
                </c:pt>
                <c:pt idx="10">
                  <c:v>MTGNN</c:v>
                </c:pt>
                <c:pt idx="11">
                  <c:v>DCRNN</c:v>
                </c:pt>
                <c:pt idx="12">
                  <c:v>Bi-STAT</c:v>
                </c:pt>
                <c:pt idx="13">
                  <c:v>GMAN</c:v>
                </c:pt>
                <c:pt idx="14">
                  <c:v>GWNet</c:v>
                </c:pt>
                <c:pt idx="15">
                  <c:v>STID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汇总!$J$54:$J$72</c:f>
              <c:numCache>
                <c:formatCode>General</c:formatCode>
                <c:ptCount val="19"/>
                <c:pt idx="0">
                  <c:v>50.44</c:v>
                </c:pt>
                <c:pt idx="1">
                  <c:v>38.97</c:v>
                </c:pt>
                <c:pt idx="2">
                  <c:v>43.96</c:v>
                </c:pt>
                <c:pt idx="3">
                  <c:v>34.39</c:v>
                </c:pt>
                <c:pt idx="4">
                  <c:v>28.19</c:v>
                </c:pt>
                <c:pt idx="5">
                  <c:v>28.03</c:v>
                </c:pt>
                <c:pt idx="6">
                  <c:v>27.93</c:v>
                </c:pt>
                <c:pt idx="7">
                  <c:v>28.77</c:v>
                </c:pt>
                <c:pt idx="8">
                  <c:v>27.86</c:v>
                </c:pt>
                <c:pt idx="9">
                  <c:v>27.33</c:v>
                </c:pt>
                <c:pt idx="10">
                  <c:v>26.96</c:v>
                </c:pt>
                <c:pt idx="11">
                  <c:v>27.14</c:v>
                </c:pt>
                <c:pt idx="12">
                  <c:v>26.11</c:v>
                </c:pt>
                <c:pt idx="13">
                  <c:v>26.47</c:v>
                </c:pt>
                <c:pt idx="14">
                  <c:v>25.95</c:v>
                </c:pt>
                <c:pt idx="15">
                  <c:v>25.89</c:v>
                </c:pt>
                <c:pt idx="16">
                  <c:v>25.85</c:v>
                </c:pt>
                <c:pt idx="17">
                  <c:v>24.96</c:v>
                </c:pt>
                <c:pt idx="18">
                  <c:v>26.042072999999998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E-4B17-BAE3-AE88F69DCDFF}"/>
            </c:ext>
          </c:extLst>
        </c:ser>
        <c:ser>
          <c:idx val="2"/>
          <c:order val="2"/>
          <c:tx>
            <c:strRef>
              <c:f>汇总!$K$53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汇总!$B$54:$B$72</c:f>
              <c:strCache>
                <c:ptCount val="19"/>
                <c:pt idx="0">
                  <c:v>HA</c:v>
                </c:pt>
                <c:pt idx="1">
                  <c:v>VAR</c:v>
                </c:pt>
                <c:pt idx="2">
                  <c:v>LSTM</c:v>
                </c:pt>
                <c:pt idx="3">
                  <c:v>ASTGCN</c:v>
                </c:pt>
                <c:pt idx="4">
                  <c:v>Tformer</c:v>
                </c:pt>
                <c:pt idx="5">
                  <c:v>STGCN</c:v>
                </c:pt>
                <c:pt idx="6">
                  <c:v>AGCRN</c:v>
                </c:pt>
                <c:pt idx="7">
                  <c:v>StemGNN</c:v>
                </c:pt>
                <c:pt idx="8">
                  <c:v>STNorm</c:v>
                </c:pt>
                <c:pt idx="9">
                  <c:v>DDSTGCN</c:v>
                </c:pt>
                <c:pt idx="10">
                  <c:v>MTGNN</c:v>
                </c:pt>
                <c:pt idx="11">
                  <c:v>DCRNN</c:v>
                </c:pt>
                <c:pt idx="12">
                  <c:v>Bi-STAT</c:v>
                </c:pt>
                <c:pt idx="13">
                  <c:v>GMAN</c:v>
                </c:pt>
                <c:pt idx="14">
                  <c:v>GWNet</c:v>
                </c:pt>
                <c:pt idx="15">
                  <c:v>STID</c:v>
                </c:pt>
                <c:pt idx="16">
                  <c:v>STWave</c:v>
                </c:pt>
                <c:pt idx="17">
                  <c:v>HTVGNN</c:v>
                </c:pt>
                <c:pt idx="18">
                  <c:v>SAGFA</c:v>
                </c:pt>
              </c:strCache>
            </c:strRef>
          </c:cat>
          <c:val>
            <c:numRef>
              <c:f>汇总!$K$54:$K$72</c:f>
              <c:numCache>
                <c:formatCode>General</c:formatCode>
                <c:ptCount val="19"/>
                <c:pt idx="0">
                  <c:v>21.68</c:v>
                </c:pt>
                <c:pt idx="1">
                  <c:v>17.32</c:v>
                </c:pt>
                <c:pt idx="2">
                  <c:v>25.72</c:v>
                </c:pt>
                <c:pt idx="3">
                  <c:v>13.57</c:v>
                </c:pt>
                <c:pt idx="4">
                  <c:v>12.61</c:v>
                </c:pt>
                <c:pt idx="5">
                  <c:v>11.34</c:v>
                </c:pt>
                <c:pt idx="6">
                  <c:v>11.72</c:v>
                </c:pt>
                <c:pt idx="7">
                  <c:v>12.5</c:v>
                </c:pt>
                <c:pt idx="8">
                  <c:v>11.3</c:v>
                </c:pt>
                <c:pt idx="9">
                  <c:v>11.61</c:v>
                </c:pt>
                <c:pt idx="10">
                  <c:v>10.9</c:v>
                </c:pt>
                <c:pt idx="11">
                  <c:v>11.129999999999999</c:v>
                </c:pt>
                <c:pt idx="12">
                  <c:v>10.59</c:v>
                </c:pt>
                <c:pt idx="13">
                  <c:v>10.56</c:v>
                </c:pt>
                <c:pt idx="14">
                  <c:v>10.74</c:v>
                </c:pt>
                <c:pt idx="15">
                  <c:v>10.33</c:v>
                </c:pt>
                <c:pt idx="16">
                  <c:v>10.44</c:v>
                </c:pt>
                <c:pt idx="17">
                  <c:v>9.44</c:v>
                </c:pt>
                <c:pt idx="18">
                  <c:v>10.813651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E-4B17-BAE3-AE88F69DC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12607"/>
        <c:axId val="791913087"/>
      </c:lineChart>
      <c:catAx>
        <c:axId val="79191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3087"/>
        <c:crosses val="autoZero"/>
        <c:auto val="1"/>
        <c:lblAlgn val="ctr"/>
        <c:lblOffset val="100"/>
        <c:noMultiLvlLbl val="0"/>
      </c:catAx>
      <c:valAx>
        <c:axId val="7919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472C4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1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905006072553167"/>
          <c:y val="6.7895084543003567E-2"/>
          <c:w val="0.3904229007239074"/>
          <c:h val="6.377595657685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CN" sz="108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多头注意力头数对预测误差的影响</a:t>
            </a:r>
          </a:p>
          <a:p>
            <a:pPr>
              <a:defRPr/>
            </a:pPr>
            <a:r>
              <a:rPr lang="en-US"/>
              <a:t>PEMS03 </a:t>
            </a:r>
            <a:r>
              <a:rPr lang="zh-CN"/>
              <a:t>数据集，</a:t>
            </a:r>
            <a:r>
              <a:rPr lang="en-US"/>
              <a:t>15</a:t>
            </a:r>
            <a:r>
              <a:rPr lang="zh-CN"/>
              <a:t>分钟预测任务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80" b="0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5964327988413"/>
          <c:y val="0.15815082393051383"/>
          <c:w val="0.87475370725718105"/>
          <c:h val="0.70547392916091678"/>
        </c:manualLayout>
      </c:layout>
      <c:scatterChart>
        <c:scatterStyle val="lineMarker"/>
        <c:varyColors val="0"/>
        <c:ser>
          <c:idx val="0"/>
          <c:order val="0"/>
          <c:tx>
            <c:strRef>
              <c:f>头数!$D$6</c:f>
              <c:strCache>
                <c:ptCount val="1"/>
                <c:pt idx="0">
                  <c:v>MAE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头数!$C$7:$C$11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头数!$D$7:$D$11</c:f>
              <c:numCache>
                <c:formatCode>General</c:formatCode>
                <c:ptCount val="5"/>
                <c:pt idx="0">
                  <c:v>13.467765</c:v>
                </c:pt>
                <c:pt idx="1">
                  <c:v>9.9208590000000001</c:v>
                </c:pt>
                <c:pt idx="2">
                  <c:v>8.6927640000000004</c:v>
                </c:pt>
                <c:pt idx="3">
                  <c:v>7.8778610000000002</c:v>
                </c:pt>
                <c:pt idx="4">
                  <c:v>8.8409669999999991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E9-4D6B-8787-28E385C51705}"/>
            </c:ext>
          </c:extLst>
        </c:ser>
        <c:ser>
          <c:idx val="1"/>
          <c:order val="1"/>
          <c:tx>
            <c:strRef>
              <c:f>头数!$E$6</c:f>
              <c:strCache>
                <c:ptCount val="1"/>
                <c:pt idx="0">
                  <c:v>RMSE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头数!$C$7:$C$11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头数!$E$7:$E$11</c:f>
              <c:numCache>
                <c:formatCode>General</c:formatCode>
                <c:ptCount val="5"/>
                <c:pt idx="0">
                  <c:v>20.515518</c:v>
                </c:pt>
                <c:pt idx="1">
                  <c:v>15.541905</c:v>
                </c:pt>
                <c:pt idx="2">
                  <c:v>14.202427</c:v>
                </c:pt>
                <c:pt idx="3">
                  <c:v>13.369415</c:v>
                </c:pt>
                <c:pt idx="4">
                  <c:v>14.201155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E9-4D6B-8787-28E385C51705}"/>
            </c:ext>
          </c:extLst>
        </c:ser>
        <c:ser>
          <c:idx val="2"/>
          <c:order val="2"/>
          <c:tx>
            <c:strRef>
              <c:f>头数!$F$6</c:f>
              <c:strCache>
                <c:ptCount val="1"/>
                <c:pt idx="0">
                  <c:v>MAPE%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头数!$C$7:$C$11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头数!$F$7:$F$11</c:f>
              <c:numCache>
                <c:formatCode>General</c:formatCode>
                <c:ptCount val="5"/>
                <c:pt idx="0">
                  <c:v>14.168026000000001</c:v>
                </c:pt>
                <c:pt idx="1">
                  <c:v>10.674825</c:v>
                </c:pt>
                <c:pt idx="2">
                  <c:v>9.8593949999999992</c:v>
                </c:pt>
                <c:pt idx="3">
                  <c:v>9.0676220000000001</c:v>
                </c:pt>
                <c:pt idx="4">
                  <c:v>10.321172000000001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E9-4D6B-8787-28E385C51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38560"/>
        <c:axId val="732539040"/>
      </c:scatterChart>
      <c:valAx>
        <c:axId val="73253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CN"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9040"/>
        <c:crosses val="autoZero"/>
        <c:crossBetween val="midCat"/>
      </c:valAx>
      <c:valAx>
        <c:axId val="73253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altLang="zh-CN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08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zh-CN" sz="108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多头注意力头数对预测误差的影响</a:t>
            </a:r>
          </a:p>
          <a:p>
            <a:pPr algn="ctr" rtl="0">
              <a:defRPr lang="zh-CN" sz="1080" b="0">
                <a:solidFill>
                  <a:sysClr val="windowText" lastClr="000000"/>
                </a:solidFill>
              </a:defRPr>
            </a:pPr>
            <a:r>
              <a:rPr lang="zh-CN" sz="108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PEMS04 数据集，15分钟预测任务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CN" sz="1080" b="0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头数!$M$7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头数!$L$8:$L$12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头数!$M$8:$M$12</c:f>
              <c:numCache>
                <c:formatCode>General</c:formatCode>
                <c:ptCount val="5"/>
                <c:pt idx="0">
                  <c:v>17.784873000000001</c:v>
                </c:pt>
                <c:pt idx="1">
                  <c:v>16.613011</c:v>
                </c:pt>
                <c:pt idx="2">
                  <c:v>11.275022999999999</c:v>
                </c:pt>
                <c:pt idx="3">
                  <c:v>11.632647</c:v>
                </c:pt>
                <c:pt idx="4">
                  <c:v>12.184777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8-4245-91DC-97CB1457F2D1}"/>
            </c:ext>
          </c:extLst>
        </c:ser>
        <c:ser>
          <c:idx val="1"/>
          <c:order val="1"/>
          <c:tx>
            <c:strRef>
              <c:f>头数!$N$7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头数!$L$8:$L$12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头数!$N$8:$N$12</c:f>
              <c:numCache>
                <c:formatCode>General</c:formatCode>
                <c:ptCount val="5"/>
                <c:pt idx="0">
                  <c:v>27.934272</c:v>
                </c:pt>
                <c:pt idx="1">
                  <c:v>26.527632000000001</c:v>
                </c:pt>
                <c:pt idx="2">
                  <c:v>19.136617999999999</c:v>
                </c:pt>
                <c:pt idx="3">
                  <c:v>19.343264999999999</c:v>
                </c:pt>
                <c:pt idx="4">
                  <c:v>19.96866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F8-4245-91DC-97CB1457F2D1}"/>
            </c:ext>
          </c:extLst>
        </c:ser>
        <c:ser>
          <c:idx val="2"/>
          <c:order val="2"/>
          <c:tx>
            <c:strRef>
              <c:f>头数!$O$7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头数!$L$8:$L$12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头数!$O$8:$O$12</c:f>
              <c:numCache>
                <c:formatCode>General</c:formatCode>
                <c:ptCount val="5"/>
                <c:pt idx="0">
                  <c:v>12.657487</c:v>
                </c:pt>
                <c:pt idx="1">
                  <c:v>11.84154</c:v>
                </c:pt>
                <c:pt idx="2">
                  <c:v>8.8121799999999997</c:v>
                </c:pt>
                <c:pt idx="3">
                  <c:v>9.6345270000000003</c:v>
                </c:pt>
                <c:pt idx="4">
                  <c:v>9.7200249999999997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F8-4245-91DC-97CB1457F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280607"/>
        <c:axId val="405294527"/>
      </c:scatterChart>
      <c:valAx>
        <c:axId val="40528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5294527"/>
        <c:crosses val="autoZero"/>
        <c:crossBetween val="midCat"/>
      </c:valAx>
      <c:valAx>
        <c:axId val="40529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5280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图卷积节点嵌入维度对预测误差的影响</a:t>
            </a:r>
            <a:endParaRPr lang="en-US" altLang="zh-CN"/>
          </a:p>
          <a:p>
            <a:pPr>
              <a:defRPr/>
            </a:pPr>
            <a:r>
              <a:rPr lang="en-US" altLang="zh-C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PEMS04 </a:t>
            </a: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数据集，</a:t>
            </a:r>
            <a:r>
              <a:rPr lang="en-US" altLang="zh-C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15</a:t>
            </a: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分钟预测任务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5964327988413"/>
          <c:y val="0.15815082393051383"/>
          <c:w val="0.86074810501628474"/>
          <c:h val="0.71207453028767442"/>
        </c:manualLayout>
      </c:layout>
      <c:scatterChart>
        <c:scatterStyle val="lineMarker"/>
        <c:varyColors val="0"/>
        <c:ser>
          <c:idx val="0"/>
          <c:order val="0"/>
          <c:tx>
            <c:strRef>
              <c:f>emb!$C$4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emb!$B$5:$B$9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emb!$C$5:$C$9</c:f>
              <c:numCache>
                <c:formatCode>General</c:formatCode>
                <c:ptCount val="5"/>
                <c:pt idx="0">
                  <c:v>12.068861999999999</c:v>
                </c:pt>
                <c:pt idx="1">
                  <c:v>12.154355000000001</c:v>
                </c:pt>
                <c:pt idx="2">
                  <c:v>12.529935999999999</c:v>
                </c:pt>
                <c:pt idx="3">
                  <c:v>12.772389</c:v>
                </c:pt>
                <c:pt idx="4">
                  <c:v>12.738275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51-46C8-9358-C8543BD07765}"/>
            </c:ext>
          </c:extLst>
        </c:ser>
        <c:ser>
          <c:idx val="1"/>
          <c:order val="1"/>
          <c:tx>
            <c:strRef>
              <c:f>emb!$D$4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emb!$B$5:$B$9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emb!$D$5:$D$9</c:f>
              <c:numCache>
                <c:formatCode>General</c:formatCode>
                <c:ptCount val="5"/>
                <c:pt idx="0">
                  <c:v>20.389430000000001</c:v>
                </c:pt>
                <c:pt idx="1">
                  <c:v>20.437349999999999</c:v>
                </c:pt>
                <c:pt idx="2">
                  <c:v>20.820729</c:v>
                </c:pt>
                <c:pt idx="3">
                  <c:v>21.053623000000002</c:v>
                </c:pt>
                <c:pt idx="4">
                  <c:v>21.059021999999999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51-46C8-9358-C8543BD07765}"/>
            </c:ext>
          </c:extLst>
        </c:ser>
        <c:ser>
          <c:idx val="2"/>
          <c:order val="2"/>
          <c:tx>
            <c:strRef>
              <c:f>emb!$E$4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emb!$B$5:$B$9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emb!$E$5:$E$9</c:f>
              <c:numCache>
                <c:formatCode>General</c:formatCode>
                <c:ptCount val="5"/>
                <c:pt idx="0">
                  <c:v>10.433441</c:v>
                </c:pt>
                <c:pt idx="1">
                  <c:v>10.832764000000001</c:v>
                </c:pt>
                <c:pt idx="2">
                  <c:v>10.616975</c:v>
                </c:pt>
                <c:pt idx="3">
                  <c:v>11.074923999999999</c:v>
                </c:pt>
                <c:pt idx="4">
                  <c:v>10.556697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51-46C8-9358-C8543BD07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38560"/>
        <c:axId val="732539040"/>
      </c:scatterChart>
      <c:valAx>
        <c:axId val="732538560"/>
        <c:scaling>
          <c:orientation val="minMax"/>
          <c:max val="6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kern="1200"/>
                  <a:t>Node</a:t>
                </a:r>
                <a:r>
                  <a:rPr lang="en-US" altLang="zh-CN" sz="1000" kern="1200" baseline="0"/>
                  <a:t> Embedding Dimension</a:t>
                </a:r>
                <a:endParaRPr lang="zh-CN" altLang="en-US" sz="1000" kern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9040"/>
        <c:crosses val="autoZero"/>
        <c:crossBetween val="midCat"/>
        <c:majorUnit val="4"/>
      </c:valAx>
      <c:valAx>
        <c:axId val="732539040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测试级误差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897053309512793"/>
          <c:y val="0.15173046438502119"/>
          <c:w val="0.38878246836792457"/>
          <c:h val="5.5693459109690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图卷积节点嵌入维度对预测误差的影响</a:t>
            </a:r>
          </a:p>
          <a:p>
            <a:pPr algn="ctr" rtl="0">
              <a:defRPr lang="zh-CN" altLang="en-US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PEMS08 数据集，60分钟预测任务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5964327988413"/>
          <c:y val="0.15815082393051383"/>
          <c:w val="0.86074810501628474"/>
          <c:h val="0.71207453028767442"/>
        </c:manualLayout>
      </c:layout>
      <c:scatterChart>
        <c:scatterStyle val="lineMarker"/>
        <c:varyColors val="0"/>
        <c:ser>
          <c:idx val="1"/>
          <c:order val="0"/>
          <c:tx>
            <c:strRef>
              <c:f>emb!$J$4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emb!$I$5:$I$9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emb!$J$5:$J$9</c:f>
              <c:numCache>
                <c:formatCode>General</c:formatCode>
                <c:ptCount val="5"/>
                <c:pt idx="0">
                  <c:v>18.627652000000001</c:v>
                </c:pt>
                <c:pt idx="1">
                  <c:v>17.028293000000001</c:v>
                </c:pt>
                <c:pt idx="2">
                  <c:v>17.432302</c:v>
                </c:pt>
                <c:pt idx="3">
                  <c:v>17.084527000000001</c:v>
                </c:pt>
                <c:pt idx="4">
                  <c:v>16.362997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51-46C8-9358-C8543BD07765}"/>
            </c:ext>
          </c:extLst>
        </c:ser>
        <c:ser>
          <c:idx val="2"/>
          <c:order val="1"/>
          <c:tx>
            <c:strRef>
              <c:f>emb!$K$4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emb!$I$5:$I$9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emb!$K$5:$K$9</c:f>
              <c:numCache>
                <c:formatCode>General</c:formatCode>
                <c:ptCount val="5"/>
                <c:pt idx="0">
                  <c:v>29.073861999999998</c:v>
                </c:pt>
                <c:pt idx="1">
                  <c:v>26.480733000000001</c:v>
                </c:pt>
                <c:pt idx="2">
                  <c:v>27.046161000000001</c:v>
                </c:pt>
                <c:pt idx="3">
                  <c:v>26.798748</c:v>
                </c:pt>
                <c:pt idx="4">
                  <c:v>25.924610999999999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51-46C8-9358-C8543BD07765}"/>
            </c:ext>
          </c:extLst>
        </c:ser>
        <c:ser>
          <c:idx val="3"/>
          <c:order val="2"/>
          <c:tx>
            <c:strRef>
              <c:f>emb!$L$4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emb!$I$5:$I$9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emb!$L$5:$L$9</c:f>
              <c:numCache>
                <c:formatCode>General</c:formatCode>
                <c:ptCount val="5"/>
                <c:pt idx="0">
                  <c:v>12.111305999999999</c:v>
                </c:pt>
                <c:pt idx="1">
                  <c:v>11.318496999999999</c:v>
                </c:pt>
                <c:pt idx="2">
                  <c:v>12.054091999999999</c:v>
                </c:pt>
                <c:pt idx="3">
                  <c:v>11.209357000000001</c:v>
                </c:pt>
                <c:pt idx="4">
                  <c:v>10.479043000000001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C2-4C67-BDA9-92B9AA1BD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38560"/>
        <c:axId val="732539040"/>
      </c:scatterChart>
      <c:valAx>
        <c:axId val="732538560"/>
        <c:scaling>
          <c:orientation val="minMax"/>
          <c:max val="6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kern="1200"/>
                  <a:t>Node</a:t>
                </a:r>
                <a:r>
                  <a:rPr lang="en-US" altLang="zh-CN" sz="1000" kern="1200" baseline="0"/>
                  <a:t> Embedding Dimension</a:t>
                </a:r>
                <a:endParaRPr lang="zh-CN" altLang="en-US" sz="1000" kern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9040"/>
        <c:crosses val="autoZero"/>
        <c:crossBetween val="midCat"/>
        <c:majorUnit val="4"/>
      </c:valAx>
      <c:valAx>
        <c:axId val="732539040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测试集误差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38727324276213"/>
          <c:y val="0.15173046438502119"/>
          <c:w val="0.77836562818087596"/>
          <c:h val="5.5693459109690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图卷积节点嵌入维度对预测误差的影响</a:t>
            </a:r>
          </a:p>
          <a:p>
            <a:pPr algn="ctr" rtl="0">
              <a:defRPr lang="zh-CN" altLang="en-US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PEMS0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4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 数据集，60分钟预测任务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5964327988413"/>
          <c:y val="0.15815082393051383"/>
          <c:w val="0.86074810501628474"/>
          <c:h val="0.71207453028767442"/>
        </c:manualLayout>
      </c:layout>
      <c:scatterChart>
        <c:scatterStyle val="lineMarker"/>
        <c:varyColors val="0"/>
        <c:ser>
          <c:idx val="1"/>
          <c:order val="0"/>
          <c:tx>
            <c:strRef>
              <c:f>emb!$P$4</c:f>
              <c:strCache>
                <c:ptCount val="1"/>
                <c:pt idx="0">
                  <c:v>MAE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emb!$O$5:$O$9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emb!$P$5:$P$9</c:f>
              <c:numCache>
                <c:formatCode>General</c:formatCode>
                <c:ptCount val="5"/>
                <c:pt idx="0">
                  <c:v>20.811152</c:v>
                </c:pt>
                <c:pt idx="1">
                  <c:v>20.467224000000002</c:v>
                </c:pt>
                <c:pt idx="2">
                  <c:v>21.882214999999999</c:v>
                </c:pt>
                <c:pt idx="3">
                  <c:v>21.606278</c:v>
                </c:pt>
                <c:pt idx="4">
                  <c:v>21.736194999999999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12-49A2-94B0-EDCD8DC2586F}"/>
            </c:ext>
          </c:extLst>
        </c:ser>
        <c:ser>
          <c:idx val="2"/>
          <c:order val="1"/>
          <c:tx>
            <c:strRef>
              <c:f>emb!$Q$4</c:f>
              <c:strCache>
                <c:ptCount val="1"/>
                <c:pt idx="0">
                  <c:v>RMSE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emb!$O$5:$O$9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emb!$Q$5:$Q$9</c:f>
              <c:numCache>
                <c:formatCode>General</c:formatCode>
                <c:ptCount val="5"/>
                <c:pt idx="0">
                  <c:v>33.119306999999999</c:v>
                </c:pt>
                <c:pt idx="1">
                  <c:v>32.634334000000003</c:v>
                </c:pt>
                <c:pt idx="2">
                  <c:v>34.141581000000002</c:v>
                </c:pt>
                <c:pt idx="3">
                  <c:v>33.749825000000001</c:v>
                </c:pt>
                <c:pt idx="4">
                  <c:v>34.165089999999999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12-49A2-94B0-EDCD8DC2586F}"/>
            </c:ext>
          </c:extLst>
        </c:ser>
        <c:ser>
          <c:idx val="3"/>
          <c:order val="2"/>
          <c:tx>
            <c:strRef>
              <c:f>emb!$R$4</c:f>
              <c:strCache>
                <c:ptCount val="1"/>
                <c:pt idx="0">
                  <c:v>MAPE%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emb!$O$5:$O$9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emb!$R$5:$R$9</c:f>
              <c:numCache>
                <c:formatCode>General</c:formatCode>
                <c:ptCount val="5"/>
                <c:pt idx="0">
                  <c:v>15.880938</c:v>
                </c:pt>
                <c:pt idx="1">
                  <c:v>15.964073000000001</c:v>
                </c:pt>
                <c:pt idx="2">
                  <c:v>18.310980000000001</c:v>
                </c:pt>
                <c:pt idx="3">
                  <c:v>18.472064</c:v>
                </c:pt>
                <c:pt idx="4">
                  <c:v>17.706980000000001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12-49A2-94B0-EDCD8DC25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38560"/>
        <c:axId val="732539040"/>
      </c:scatterChart>
      <c:valAx>
        <c:axId val="732538560"/>
        <c:scaling>
          <c:orientation val="minMax"/>
          <c:max val="6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kern="1200"/>
                  <a:t>Node</a:t>
                </a:r>
                <a:r>
                  <a:rPr lang="en-US" altLang="zh-CN" sz="1000" kern="1200" baseline="0"/>
                  <a:t> Embedding Dimension</a:t>
                </a:r>
                <a:endParaRPr lang="zh-CN" altLang="en-US" sz="1000" kern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9040"/>
        <c:crosses val="autoZero"/>
        <c:crossBetween val="midCat"/>
        <c:majorUnit val="4"/>
      </c:valAx>
      <c:valAx>
        <c:axId val="732539040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测试集误差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146709049494639"/>
          <c:y val="0.15173050074028055"/>
          <c:w val="0.56930029245321856"/>
          <c:h val="5.5693459109690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图卷积节点嵌入维度对预测误差的影响</a:t>
            </a:r>
          </a:p>
          <a:p>
            <a:pPr algn="ctr" rtl="0">
              <a:defRPr lang="zh-CN" altLang="en-US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PEMS0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8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 数据集，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15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分钟预测任务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5964327988413"/>
          <c:y val="0.15815082393051383"/>
          <c:w val="0.86074810501628474"/>
          <c:h val="0.71207453028767442"/>
        </c:manualLayout>
      </c:layout>
      <c:scatterChart>
        <c:scatterStyle val="lineMarker"/>
        <c:varyColors val="0"/>
        <c:ser>
          <c:idx val="1"/>
          <c:order val="0"/>
          <c:tx>
            <c:strRef>
              <c:f>emb!$X$4</c:f>
              <c:strCache>
                <c:ptCount val="1"/>
                <c:pt idx="0">
                  <c:v>MAE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emb!$W$5:$W$9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emb!$X$5:$X$9</c:f>
              <c:numCache>
                <c:formatCode>General</c:formatCode>
                <c:ptCount val="5"/>
                <c:pt idx="0">
                  <c:v>8.6262050000000006</c:v>
                </c:pt>
                <c:pt idx="1">
                  <c:v>9.9769349999999992</c:v>
                </c:pt>
                <c:pt idx="2">
                  <c:v>8.5696180000000002</c:v>
                </c:pt>
                <c:pt idx="3">
                  <c:v>8.9100629999999992</c:v>
                </c:pt>
                <c:pt idx="4">
                  <c:v>9.7305799999999998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2E-4A5E-9F7F-BEA689F82E4D}"/>
            </c:ext>
          </c:extLst>
        </c:ser>
        <c:ser>
          <c:idx val="2"/>
          <c:order val="1"/>
          <c:tx>
            <c:strRef>
              <c:f>emb!$Y$4</c:f>
              <c:strCache>
                <c:ptCount val="1"/>
                <c:pt idx="0">
                  <c:v>RMSE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emb!$W$5:$W$9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emb!$Y$5:$Y$9</c:f>
              <c:numCache>
                <c:formatCode>General</c:formatCode>
                <c:ptCount val="5"/>
                <c:pt idx="0">
                  <c:v>15.159716</c:v>
                </c:pt>
                <c:pt idx="1">
                  <c:v>16.439254999999999</c:v>
                </c:pt>
                <c:pt idx="2">
                  <c:v>15.005177</c:v>
                </c:pt>
                <c:pt idx="3">
                  <c:v>15.297136999999999</c:v>
                </c:pt>
                <c:pt idx="4">
                  <c:v>16.080425999999999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2E-4A5E-9F7F-BEA689F82E4D}"/>
            </c:ext>
          </c:extLst>
        </c:ser>
        <c:ser>
          <c:idx val="3"/>
          <c:order val="2"/>
          <c:tx>
            <c:strRef>
              <c:f>emb!$Z$4</c:f>
              <c:strCache>
                <c:ptCount val="1"/>
                <c:pt idx="0">
                  <c:v>MAPE%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emb!$W$5:$W$9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emb!$Z$5:$Z$9</c:f>
              <c:numCache>
                <c:formatCode>General</c:formatCode>
                <c:ptCount val="5"/>
                <c:pt idx="0">
                  <c:v>5.8349900000000003</c:v>
                </c:pt>
                <c:pt idx="1">
                  <c:v>6.5925260000000003</c:v>
                </c:pt>
                <c:pt idx="2">
                  <c:v>5.7480560000000001</c:v>
                </c:pt>
                <c:pt idx="3">
                  <c:v>6.0554700000000006</c:v>
                </c:pt>
                <c:pt idx="4">
                  <c:v>6.5015479999999997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2E-4A5E-9F7F-BEA689F8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38560"/>
        <c:axId val="732539040"/>
      </c:scatterChart>
      <c:valAx>
        <c:axId val="732538560"/>
        <c:scaling>
          <c:orientation val="minMax"/>
          <c:max val="6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kern="1200"/>
                  <a:t>Node</a:t>
                </a:r>
                <a:r>
                  <a:rPr lang="en-US" altLang="zh-CN" sz="1000" kern="1200" baseline="0"/>
                  <a:t> Embedding Dimension</a:t>
                </a:r>
                <a:endParaRPr lang="zh-CN" altLang="en-US" sz="1000" kern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9040"/>
        <c:crosses val="autoZero"/>
        <c:crossBetween val="midCat"/>
        <c:majorUnit val="4"/>
      </c:valAx>
      <c:valAx>
        <c:axId val="732539040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测试集误差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713749861748493"/>
          <c:y val="0.15173046438502119"/>
          <c:w val="0.71061537138914876"/>
          <c:h val="5.5693459109690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900"/>
              <a:t>频域注意力模块隐藏特征尺度</a:t>
            </a:r>
            <a:endParaRPr lang="en-US" altLang="zh-CN" sz="900"/>
          </a:p>
          <a:p>
            <a:pPr>
              <a:defRPr/>
            </a:pPr>
            <a:r>
              <a:rPr lang="en-US" altLang="zh-CN" sz="900"/>
              <a:t>PEMS08</a:t>
            </a:r>
            <a:r>
              <a:rPr lang="en-US" altLang="zh-CN" sz="900" baseline="0"/>
              <a:t> 60</a:t>
            </a:r>
            <a:r>
              <a:rPr lang="zh-CN" altLang="en-US" sz="900" baseline="0"/>
              <a:t>分钟</a:t>
            </a:r>
            <a:endParaRPr lang="zh-CN" alt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5964327988413"/>
          <c:y val="0.15815082393051383"/>
          <c:w val="0.86074810501628474"/>
          <c:h val="0.71207453028767442"/>
        </c:manualLayout>
      </c:layout>
      <c:scatterChart>
        <c:scatterStyle val="lineMarker"/>
        <c:varyColors val="0"/>
        <c:ser>
          <c:idx val="1"/>
          <c:order val="0"/>
          <c:tx>
            <c:strRef>
              <c:f>'fb-dim'!$C$5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'fb-dim'!$B$6:$B$10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96</c:v>
                </c:pt>
              </c:numCache>
            </c:numRef>
          </c:xVal>
          <c:yVal>
            <c:numRef>
              <c:f>'fb-dim'!$C$6:$C$10</c:f>
              <c:numCache>
                <c:formatCode>General</c:formatCode>
                <c:ptCount val="5"/>
                <c:pt idx="0">
                  <c:v>16.354727</c:v>
                </c:pt>
                <c:pt idx="1">
                  <c:v>18.437535</c:v>
                </c:pt>
                <c:pt idx="2">
                  <c:v>16.847508999999999</c:v>
                </c:pt>
                <c:pt idx="3">
                  <c:v>16.633315</c:v>
                </c:pt>
                <c:pt idx="4">
                  <c:v>17.383246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51-46C8-9358-C8543BD07765}"/>
            </c:ext>
          </c:extLst>
        </c:ser>
        <c:ser>
          <c:idx val="2"/>
          <c:order val="1"/>
          <c:tx>
            <c:strRef>
              <c:f>'fb-dim'!$D$5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'fb-dim'!$B$6:$B$10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96</c:v>
                </c:pt>
              </c:numCache>
            </c:numRef>
          </c:xVal>
          <c:yVal>
            <c:numRef>
              <c:f>'fb-dim'!$D$6:$D$10</c:f>
              <c:numCache>
                <c:formatCode>General</c:formatCode>
                <c:ptCount val="5"/>
                <c:pt idx="0">
                  <c:v>26.042072999999998</c:v>
                </c:pt>
                <c:pt idx="1">
                  <c:v>28.419644000000002</c:v>
                </c:pt>
                <c:pt idx="2">
                  <c:v>26.260335000000001</c:v>
                </c:pt>
                <c:pt idx="3">
                  <c:v>26.187799999999999</c:v>
                </c:pt>
                <c:pt idx="4">
                  <c:v>27.089955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51-46C8-9358-C8543BD07765}"/>
            </c:ext>
          </c:extLst>
        </c:ser>
        <c:ser>
          <c:idx val="3"/>
          <c:order val="2"/>
          <c:tx>
            <c:strRef>
              <c:f>'fb-dim'!$E$5</c:f>
              <c:strCache>
                <c:ptCount val="1"/>
                <c:pt idx="0">
                  <c:v>MAPE%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'fb-dim'!$B$6:$B$10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96</c:v>
                </c:pt>
              </c:numCache>
            </c:numRef>
          </c:xVal>
          <c:yVal>
            <c:numRef>
              <c:f>'fb-dim'!$E$6:$E$10</c:f>
              <c:numCache>
                <c:formatCode>General</c:formatCode>
                <c:ptCount val="5"/>
                <c:pt idx="0">
                  <c:v>10.813651</c:v>
                </c:pt>
                <c:pt idx="1">
                  <c:v>12.223291999999999</c:v>
                </c:pt>
                <c:pt idx="2">
                  <c:v>11.345840000000001</c:v>
                </c:pt>
                <c:pt idx="3">
                  <c:v>10.799796000000001</c:v>
                </c:pt>
                <c:pt idx="4">
                  <c:v>11.281352999999999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391-4E3A-9F3D-1ECC3F459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38560"/>
        <c:axId val="732539040"/>
      </c:scatterChart>
      <c:valAx>
        <c:axId val="73253856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频域注意力模块隐藏特征尺寸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9040"/>
        <c:crosses val="autoZero"/>
        <c:crossBetween val="midCat"/>
      </c:valAx>
      <c:valAx>
        <c:axId val="732539040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测试集误差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897053309512793"/>
          <c:y val="0.15173046438502119"/>
          <c:w val="0.38878246836792457"/>
          <c:h val="5.5693459109690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en-US"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频域注意力模块隐藏特征尺度</a:t>
            </a:r>
          </a:p>
          <a:p>
            <a:pPr algn="ctr" rtl="0">
              <a:defRPr lang="zh-CN" altLang="en-US" sz="9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zh-CN" altLang="en-US"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PEMS04 60分钟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CN" altLang="en-US" sz="9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5964327988413"/>
          <c:y val="0.15815082393051383"/>
          <c:w val="0.86074810501628474"/>
          <c:h val="0.71207453028767442"/>
        </c:manualLayout>
      </c:layout>
      <c:scatterChart>
        <c:scatterStyle val="lineMarker"/>
        <c:varyColors val="0"/>
        <c:ser>
          <c:idx val="1"/>
          <c:order val="0"/>
          <c:tx>
            <c:strRef>
              <c:f>'fb-dim'!$I$5</c:f>
              <c:strCache>
                <c:ptCount val="1"/>
                <c:pt idx="0">
                  <c:v>MAE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'fb-dim'!$H$6:$H$10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96</c:v>
                </c:pt>
              </c:numCache>
            </c:numRef>
          </c:xVal>
          <c:yVal>
            <c:numRef>
              <c:f>'fb-dim'!$I$6:$I$10</c:f>
              <c:numCache>
                <c:formatCode>General</c:formatCode>
                <c:ptCount val="5"/>
                <c:pt idx="0">
                  <c:v>20.882076000000001</c:v>
                </c:pt>
                <c:pt idx="1">
                  <c:v>21.732893000000001</c:v>
                </c:pt>
                <c:pt idx="2">
                  <c:v>21.324020999999998</c:v>
                </c:pt>
                <c:pt idx="3">
                  <c:v>21.264659000000002</c:v>
                </c:pt>
                <c:pt idx="4">
                  <c:v>21.331731999999999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07-4110-A64E-46918E948645}"/>
            </c:ext>
          </c:extLst>
        </c:ser>
        <c:ser>
          <c:idx val="0"/>
          <c:order val="1"/>
          <c:tx>
            <c:strRef>
              <c:f>'fb-dim'!$J$5</c:f>
              <c:strCache>
                <c:ptCount val="1"/>
                <c:pt idx="0">
                  <c:v>RMSE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'fb-dim'!$H$6:$H$10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96</c:v>
                </c:pt>
              </c:numCache>
            </c:numRef>
          </c:xVal>
          <c:yVal>
            <c:numRef>
              <c:f>'fb-dim'!$J$6:$J$10</c:f>
              <c:numCache>
                <c:formatCode>General</c:formatCode>
                <c:ptCount val="5"/>
                <c:pt idx="0">
                  <c:v>33.100116</c:v>
                </c:pt>
                <c:pt idx="1">
                  <c:v>34.037025999999997</c:v>
                </c:pt>
                <c:pt idx="2">
                  <c:v>33.619349999999997</c:v>
                </c:pt>
                <c:pt idx="3">
                  <c:v>33.603442999999999</c:v>
                </c:pt>
                <c:pt idx="4">
                  <c:v>33.505315000000003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07-4110-A64E-46918E948645}"/>
            </c:ext>
          </c:extLst>
        </c:ser>
        <c:ser>
          <c:idx val="2"/>
          <c:order val="2"/>
          <c:tx>
            <c:strRef>
              <c:f>'fb-dim'!$K$5</c:f>
              <c:strCache>
                <c:ptCount val="1"/>
                <c:pt idx="0">
                  <c:v>MAPE%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'fb-dim'!$H$6:$H$10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96</c:v>
                </c:pt>
              </c:numCache>
            </c:numRef>
          </c:xVal>
          <c:yVal>
            <c:numRef>
              <c:f>'fb-dim'!$K$6:$K$10</c:f>
              <c:numCache>
                <c:formatCode>General</c:formatCode>
                <c:ptCount val="5"/>
                <c:pt idx="0">
                  <c:v>16.438348999999999</c:v>
                </c:pt>
                <c:pt idx="1">
                  <c:v>17.887163000000001</c:v>
                </c:pt>
                <c:pt idx="2">
                  <c:v>17.015568999999999</c:v>
                </c:pt>
                <c:pt idx="3">
                  <c:v>17.380407000000002</c:v>
                </c:pt>
                <c:pt idx="4">
                  <c:v>18.023668000000001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07-4110-A64E-46918E94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38560"/>
        <c:axId val="732539040"/>
      </c:scatterChart>
      <c:valAx>
        <c:axId val="73253856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频域注意力模块隐藏特征尺寸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9040"/>
        <c:crosses val="autoZero"/>
        <c:crossBetween val="midCat"/>
      </c:valAx>
      <c:valAx>
        <c:axId val="732539040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897053309512793"/>
          <c:y val="0.15173046438502119"/>
          <c:w val="0.39941105383409808"/>
          <c:h val="6.7608646274984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/>
              <a:t>输入时间序列长度对预测误差的影响</a:t>
            </a:r>
            <a:endParaRPr lang="en-US" altLang="zh-CN" sz="1100"/>
          </a:p>
          <a:p>
            <a:pPr>
              <a:defRPr/>
            </a:pPr>
            <a:r>
              <a:rPr lang="en-US" altLang="zh-C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PEMS04 </a:t>
            </a: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数据集，</a:t>
            </a:r>
            <a:r>
              <a:rPr lang="en-US" altLang="zh-C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60</a:t>
            </a: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分钟预测任务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671001124509884"/>
          <c:y val="0.16460262275610635"/>
          <c:w val="0.83463444747085802"/>
          <c:h val="0.70562259023773066"/>
        </c:manualLayout>
      </c:layout>
      <c:scatterChart>
        <c:scatterStyle val="lineMarker"/>
        <c:varyColors val="0"/>
        <c:ser>
          <c:idx val="0"/>
          <c:order val="0"/>
          <c:tx>
            <c:strRef>
              <c:f>seq_len!$C$6</c:f>
              <c:strCache>
                <c:ptCount val="1"/>
                <c:pt idx="0">
                  <c:v>MAE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seq_len!$B$7:$B$10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</c:numCache>
            </c:numRef>
          </c:xVal>
          <c:yVal>
            <c:numRef>
              <c:f>seq_len!$C$7:$C$10</c:f>
              <c:numCache>
                <c:formatCode>General</c:formatCode>
                <c:ptCount val="4"/>
                <c:pt idx="0">
                  <c:v>21.348495</c:v>
                </c:pt>
                <c:pt idx="1">
                  <c:v>20.882076000000001</c:v>
                </c:pt>
                <c:pt idx="2">
                  <c:v>20.261973999999999</c:v>
                </c:pt>
                <c:pt idx="3">
                  <c:v>22.434664999999999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1-4874-8D0A-662DED82FFA3}"/>
            </c:ext>
          </c:extLst>
        </c:ser>
        <c:ser>
          <c:idx val="1"/>
          <c:order val="1"/>
          <c:tx>
            <c:strRef>
              <c:f>seq_len!$D$6</c:f>
              <c:strCache>
                <c:ptCount val="1"/>
                <c:pt idx="0">
                  <c:v>RMSE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seq_len!$B$7:$B$10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</c:numCache>
            </c:numRef>
          </c:xVal>
          <c:yVal>
            <c:numRef>
              <c:f>seq_len!$D$7:$D$10</c:f>
              <c:numCache>
                <c:formatCode>General</c:formatCode>
                <c:ptCount val="4"/>
                <c:pt idx="0">
                  <c:v>33.767145999999997</c:v>
                </c:pt>
                <c:pt idx="1">
                  <c:v>33.100116</c:v>
                </c:pt>
                <c:pt idx="2">
                  <c:v>32.369433999999998</c:v>
                </c:pt>
                <c:pt idx="3">
                  <c:v>35.207711000000003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81-4874-8D0A-662DED82FFA3}"/>
            </c:ext>
          </c:extLst>
        </c:ser>
        <c:ser>
          <c:idx val="2"/>
          <c:order val="2"/>
          <c:tx>
            <c:strRef>
              <c:f>seq_len!$E$6</c:f>
              <c:strCache>
                <c:ptCount val="1"/>
                <c:pt idx="0">
                  <c:v>MAPE%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seq_len!$B$7:$B$10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</c:numCache>
            </c:numRef>
          </c:xVal>
          <c:yVal>
            <c:numRef>
              <c:f>seq_len!$E$7:$E$10</c:f>
              <c:numCache>
                <c:formatCode>General</c:formatCode>
                <c:ptCount val="4"/>
                <c:pt idx="0">
                  <c:v>16.345171000000001</c:v>
                </c:pt>
                <c:pt idx="1">
                  <c:v>16.438348999999999</c:v>
                </c:pt>
                <c:pt idx="2">
                  <c:v>15.205917999999999</c:v>
                </c:pt>
                <c:pt idx="3">
                  <c:v>17.074247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81-4874-8D0A-662DED82F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38560"/>
        <c:axId val="732539040"/>
      </c:scatterChart>
      <c:valAx>
        <c:axId val="732538560"/>
        <c:scaling>
          <c:orientation val="minMax"/>
          <c:max val="2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kern="1200"/>
                  <a:t>Seq Length</a:t>
                </a:r>
                <a:endParaRPr lang="zh-CN" altLang="en-US" sz="1000" kern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9040"/>
        <c:crosses val="autoZero"/>
        <c:crossBetween val="midCat"/>
        <c:majorUnit val="6"/>
      </c:valAx>
      <c:valAx>
        <c:axId val="732539040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测试级误差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8560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04776905189789"/>
          <c:y val="0.15495633439010006"/>
          <c:w val="0.58608577803426898"/>
          <c:h val="5.5693459109690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/>
              <a:t>输入时间序列长度对预测误差的影响</a:t>
            </a:r>
            <a:endParaRPr lang="en-US" altLang="zh-CN" sz="1100"/>
          </a:p>
          <a:p>
            <a:pPr>
              <a:defRPr/>
            </a:pPr>
            <a:r>
              <a:rPr lang="en-US" altLang="zh-C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PEMS08 </a:t>
            </a: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数据集，</a:t>
            </a:r>
            <a:r>
              <a:rPr lang="en-US" altLang="zh-C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60</a:t>
            </a: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分钟预测任务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961153004168591"/>
          <c:y val="0.16460262275610635"/>
          <c:w val="0.83173292867427084"/>
          <c:h val="0.70562259023773066"/>
        </c:manualLayout>
      </c:layout>
      <c:scatterChart>
        <c:scatterStyle val="lineMarker"/>
        <c:varyColors val="0"/>
        <c:ser>
          <c:idx val="0"/>
          <c:order val="0"/>
          <c:tx>
            <c:strRef>
              <c:f>seq_len!$I$6</c:f>
              <c:strCache>
                <c:ptCount val="1"/>
                <c:pt idx="0">
                  <c:v>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seq_len!$H$7:$H$10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</c:numCache>
            </c:numRef>
          </c:xVal>
          <c:yVal>
            <c:numRef>
              <c:f>seq_len!$I$7:$I$10</c:f>
              <c:numCache>
                <c:formatCode>General</c:formatCode>
                <c:ptCount val="4"/>
                <c:pt idx="0">
                  <c:v>16.683478999999998</c:v>
                </c:pt>
                <c:pt idx="1">
                  <c:v>16.354727</c:v>
                </c:pt>
                <c:pt idx="2">
                  <c:v>16.360078999999999</c:v>
                </c:pt>
                <c:pt idx="3">
                  <c:v>17.595855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3-40E6-9545-1AD584D1FBD4}"/>
            </c:ext>
          </c:extLst>
        </c:ser>
        <c:ser>
          <c:idx val="1"/>
          <c:order val="1"/>
          <c:tx>
            <c:strRef>
              <c:f>seq_len!$J$6</c:f>
              <c:strCache>
                <c:ptCount val="1"/>
                <c:pt idx="0">
                  <c:v>RMSE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seq_len!$H$7:$H$10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</c:numCache>
            </c:numRef>
          </c:xVal>
          <c:yVal>
            <c:numRef>
              <c:f>seq_len!$J$7:$J$10</c:f>
              <c:numCache>
                <c:formatCode>General</c:formatCode>
                <c:ptCount val="4"/>
                <c:pt idx="0">
                  <c:v>26.241173</c:v>
                </c:pt>
                <c:pt idx="1">
                  <c:v>26.042072999999998</c:v>
                </c:pt>
                <c:pt idx="2">
                  <c:v>25.696726000000002</c:v>
                </c:pt>
                <c:pt idx="3">
                  <c:v>27.398367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0E6-9545-1AD584D1FBD4}"/>
            </c:ext>
          </c:extLst>
        </c:ser>
        <c:ser>
          <c:idx val="2"/>
          <c:order val="2"/>
          <c:tx>
            <c:strRef>
              <c:f>seq_len!$K$6</c:f>
              <c:strCache>
                <c:ptCount val="1"/>
                <c:pt idx="0">
                  <c:v>MAPE%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seq_len!$H$7:$H$10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</c:numCache>
            </c:numRef>
          </c:xVal>
          <c:yVal>
            <c:numRef>
              <c:f>seq_len!$K$7:$K$10</c:f>
              <c:numCache>
                <c:formatCode>General</c:formatCode>
                <c:ptCount val="4"/>
                <c:pt idx="0">
                  <c:v>10.794043</c:v>
                </c:pt>
                <c:pt idx="1">
                  <c:v>10.813651</c:v>
                </c:pt>
                <c:pt idx="2">
                  <c:v>10.620345</c:v>
                </c:pt>
                <c:pt idx="3">
                  <c:v>11.027711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33-40E6-9545-1AD584D1F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38560"/>
        <c:axId val="732539040"/>
      </c:scatterChart>
      <c:valAx>
        <c:axId val="732538560"/>
        <c:scaling>
          <c:orientation val="minMax"/>
          <c:max val="2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kern="1200"/>
                  <a:t>Seq Length</a:t>
                </a:r>
                <a:endParaRPr lang="zh-CN" altLang="en-US" sz="1000" kern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9040"/>
        <c:crosses val="autoZero"/>
        <c:crossBetween val="midCat"/>
        <c:majorUnit val="6"/>
      </c:valAx>
      <c:valAx>
        <c:axId val="732539040"/>
        <c:scaling>
          <c:orientation val="minMax"/>
          <c:max val="32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测试级误差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538560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628072811215303"/>
          <c:y val="0.16140819147079732"/>
          <c:w val="0.58608577803426898"/>
          <c:h val="5.5693459109690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消融!$E$19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消融!$B$20:$D$31</c:f>
              <c:multiLvlStrCache>
                <c:ptCount val="12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  <c:pt idx="4">
                    <c:v>Spatial Attn.</c:v>
                  </c:pt>
                  <c:pt idx="5">
                    <c:v>Ada-GCN</c:v>
                  </c:pt>
                  <c:pt idx="6">
                    <c:v>Freq. Attn.</c:v>
                  </c:pt>
                  <c:pt idx="7">
                    <c:v>完整模型</c:v>
                  </c:pt>
                  <c:pt idx="8">
                    <c:v>Spatial Attn.</c:v>
                  </c:pt>
                  <c:pt idx="9">
                    <c:v>Ada-GCN</c:v>
                  </c:pt>
                  <c:pt idx="10">
                    <c:v>Freq. Attn.</c:v>
                  </c:pt>
                  <c:pt idx="11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  <c:pt idx="4">
                    <c:v>AGFB</c:v>
                  </c:pt>
                  <c:pt idx="5">
                    <c:v>SFB</c:v>
                  </c:pt>
                  <c:pt idx="6">
                    <c:v>SAGO</c:v>
                  </c:pt>
                  <c:pt idx="7">
                    <c:v>SAGFA</c:v>
                  </c:pt>
                  <c:pt idx="8">
                    <c:v>AGFB</c:v>
                  </c:pt>
                  <c:pt idx="9">
                    <c:v>SFB</c:v>
                  </c:pt>
                  <c:pt idx="10">
                    <c:v>SAGO</c:v>
                  </c:pt>
                  <c:pt idx="11">
                    <c:v>SAGFA</c:v>
                  </c:pt>
                </c:lvl>
                <c:lvl>
                  <c:pt idx="0">
                    <c:v>PEMS04</c:v>
                  </c:pt>
                  <c:pt idx="4">
                    <c:v>PEMS07</c:v>
                  </c:pt>
                  <c:pt idx="8">
                    <c:v>PEMS08</c:v>
                  </c:pt>
                </c:lvl>
              </c:multiLvlStrCache>
            </c:multiLvlStrRef>
          </c:cat>
          <c:val>
            <c:numRef>
              <c:f>消融!$E$20:$E$31</c:f>
              <c:numCache>
                <c:formatCode>General</c:formatCode>
                <c:ptCount val="12"/>
                <c:pt idx="0">
                  <c:v>27.355799999999999</c:v>
                </c:pt>
                <c:pt idx="1">
                  <c:v>22.731200000000001</c:v>
                </c:pt>
                <c:pt idx="2">
                  <c:v>22.3887</c:v>
                </c:pt>
                <c:pt idx="3">
                  <c:v>20.882100000000001</c:v>
                </c:pt>
                <c:pt idx="4">
                  <c:v>31.097899999999999</c:v>
                </c:pt>
                <c:pt idx="5">
                  <c:v>24.137499999999999</c:v>
                </c:pt>
                <c:pt idx="6">
                  <c:v>24.7301</c:v>
                </c:pt>
                <c:pt idx="7">
                  <c:v>23.726500000000001</c:v>
                </c:pt>
                <c:pt idx="8">
                  <c:v>21.331800000000001</c:v>
                </c:pt>
                <c:pt idx="9">
                  <c:v>19.004200000000001</c:v>
                </c:pt>
                <c:pt idx="10">
                  <c:v>17.7043</c:v>
                </c:pt>
                <c:pt idx="11">
                  <c:v>16.354700000000001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3-4CDC-906D-7251642CF95B}"/>
            </c:ext>
          </c:extLst>
        </c:ser>
        <c:ser>
          <c:idx val="1"/>
          <c:order val="1"/>
          <c:tx>
            <c:strRef>
              <c:f>消融!$F$19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消融!$B$20:$D$31</c:f>
              <c:multiLvlStrCache>
                <c:ptCount val="12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  <c:pt idx="4">
                    <c:v>Spatial Attn.</c:v>
                  </c:pt>
                  <c:pt idx="5">
                    <c:v>Ada-GCN</c:v>
                  </c:pt>
                  <c:pt idx="6">
                    <c:v>Freq. Attn.</c:v>
                  </c:pt>
                  <c:pt idx="7">
                    <c:v>完整模型</c:v>
                  </c:pt>
                  <c:pt idx="8">
                    <c:v>Spatial Attn.</c:v>
                  </c:pt>
                  <c:pt idx="9">
                    <c:v>Ada-GCN</c:v>
                  </c:pt>
                  <c:pt idx="10">
                    <c:v>Freq. Attn.</c:v>
                  </c:pt>
                  <c:pt idx="11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  <c:pt idx="4">
                    <c:v>AGFB</c:v>
                  </c:pt>
                  <c:pt idx="5">
                    <c:v>SFB</c:v>
                  </c:pt>
                  <c:pt idx="6">
                    <c:v>SAGO</c:v>
                  </c:pt>
                  <c:pt idx="7">
                    <c:v>SAGFA</c:v>
                  </c:pt>
                  <c:pt idx="8">
                    <c:v>AGFB</c:v>
                  </c:pt>
                  <c:pt idx="9">
                    <c:v>SFB</c:v>
                  </c:pt>
                  <c:pt idx="10">
                    <c:v>SAGO</c:v>
                  </c:pt>
                  <c:pt idx="11">
                    <c:v>SAGFA</c:v>
                  </c:pt>
                </c:lvl>
                <c:lvl>
                  <c:pt idx="0">
                    <c:v>PEMS04</c:v>
                  </c:pt>
                  <c:pt idx="4">
                    <c:v>PEMS07</c:v>
                  </c:pt>
                  <c:pt idx="8">
                    <c:v>PEMS08</c:v>
                  </c:pt>
                </c:lvl>
              </c:multiLvlStrCache>
            </c:multiLvlStrRef>
          </c:cat>
          <c:val>
            <c:numRef>
              <c:f>消融!$F$20:$F$31</c:f>
              <c:numCache>
                <c:formatCode>General</c:formatCode>
                <c:ptCount val="12"/>
                <c:pt idx="0">
                  <c:v>42.442100000000003</c:v>
                </c:pt>
                <c:pt idx="1">
                  <c:v>36.114100000000001</c:v>
                </c:pt>
                <c:pt idx="2">
                  <c:v>34.788800000000002</c:v>
                </c:pt>
                <c:pt idx="3">
                  <c:v>33.100099999999998</c:v>
                </c:pt>
                <c:pt idx="4">
                  <c:v>46.369100000000003</c:v>
                </c:pt>
                <c:pt idx="5">
                  <c:v>37.476799999999997</c:v>
                </c:pt>
                <c:pt idx="6">
                  <c:v>37.218299999999999</c:v>
                </c:pt>
                <c:pt idx="7">
                  <c:v>36.4726</c:v>
                </c:pt>
                <c:pt idx="8">
                  <c:v>33.565600000000003</c:v>
                </c:pt>
                <c:pt idx="9">
                  <c:v>29.7225</c:v>
                </c:pt>
                <c:pt idx="10">
                  <c:v>27.4344</c:v>
                </c:pt>
                <c:pt idx="11">
                  <c:v>26.042100000000001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3-4CDC-906D-7251642CF95B}"/>
            </c:ext>
          </c:extLst>
        </c:ser>
        <c:ser>
          <c:idx val="2"/>
          <c:order val="2"/>
          <c:tx>
            <c:strRef>
              <c:f>消融!$G$19</c:f>
              <c:strCache>
                <c:ptCount val="1"/>
                <c:pt idx="0">
                  <c:v>MAPE%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消融!$B$20:$D$31</c:f>
              <c:multiLvlStrCache>
                <c:ptCount val="12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  <c:pt idx="4">
                    <c:v>Spatial Attn.</c:v>
                  </c:pt>
                  <c:pt idx="5">
                    <c:v>Ada-GCN</c:v>
                  </c:pt>
                  <c:pt idx="6">
                    <c:v>Freq. Attn.</c:v>
                  </c:pt>
                  <c:pt idx="7">
                    <c:v>完整模型</c:v>
                  </c:pt>
                  <c:pt idx="8">
                    <c:v>Spatial Attn.</c:v>
                  </c:pt>
                  <c:pt idx="9">
                    <c:v>Ada-GCN</c:v>
                  </c:pt>
                  <c:pt idx="10">
                    <c:v>Freq. Attn.</c:v>
                  </c:pt>
                  <c:pt idx="11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  <c:pt idx="4">
                    <c:v>AGFB</c:v>
                  </c:pt>
                  <c:pt idx="5">
                    <c:v>SFB</c:v>
                  </c:pt>
                  <c:pt idx="6">
                    <c:v>SAGO</c:v>
                  </c:pt>
                  <c:pt idx="7">
                    <c:v>SAGFA</c:v>
                  </c:pt>
                  <c:pt idx="8">
                    <c:v>AGFB</c:v>
                  </c:pt>
                  <c:pt idx="9">
                    <c:v>SFB</c:v>
                  </c:pt>
                  <c:pt idx="10">
                    <c:v>SAGO</c:v>
                  </c:pt>
                  <c:pt idx="11">
                    <c:v>SAGFA</c:v>
                  </c:pt>
                </c:lvl>
                <c:lvl>
                  <c:pt idx="0">
                    <c:v>PEMS04</c:v>
                  </c:pt>
                  <c:pt idx="4">
                    <c:v>PEMS07</c:v>
                  </c:pt>
                  <c:pt idx="8">
                    <c:v>PEMS08</c:v>
                  </c:pt>
                </c:lvl>
              </c:multiLvlStrCache>
            </c:multiLvlStrRef>
          </c:cat>
          <c:val>
            <c:numRef>
              <c:f>消融!$G$20:$G$31</c:f>
              <c:numCache>
                <c:formatCode>General</c:formatCode>
                <c:ptCount val="12"/>
                <c:pt idx="0">
                  <c:v>21.130179999999999</c:v>
                </c:pt>
                <c:pt idx="1">
                  <c:v>18.013100000000001</c:v>
                </c:pt>
                <c:pt idx="2">
                  <c:v>17.549959999999999</c:v>
                </c:pt>
                <c:pt idx="3">
                  <c:v>16.43835</c:v>
                </c:pt>
                <c:pt idx="4">
                  <c:v>13.759600000000001</c:v>
                </c:pt>
                <c:pt idx="5">
                  <c:v>10.6363</c:v>
                </c:pt>
                <c:pt idx="6">
                  <c:v>11.058</c:v>
                </c:pt>
                <c:pt idx="7">
                  <c:v>10.341200000000001</c:v>
                </c:pt>
                <c:pt idx="8">
                  <c:v>13.031700000000001</c:v>
                </c:pt>
                <c:pt idx="9">
                  <c:v>12.8895</c:v>
                </c:pt>
                <c:pt idx="10">
                  <c:v>10.97472</c:v>
                </c:pt>
                <c:pt idx="11">
                  <c:v>10.813700000000001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3-4CDC-906D-7251642CF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6625104"/>
        <c:axId val="606622224"/>
      </c:barChart>
      <c:catAx>
        <c:axId val="60662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6622224"/>
        <c:crosses val="autoZero"/>
        <c:auto val="1"/>
        <c:lblAlgn val="ctr"/>
        <c:lblOffset val="100"/>
        <c:noMultiLvlLbl val="0"/>
      </c:catAx>
      <c:valAx>
        <c:axId val="60662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662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50"/>
              <a:t>去除模块对预测误差的影响图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消融!$E$19</c:f>
              <c:strCache>
                <c:ptCount val="1"/>
                <c:pt idx="0">
                  <c:v>MAE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消融!$B$20:$D$23</c:f>
              <c:multiLvlStrCache>
                <c:ptCount val="4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</c:lvl>
                <c:lvl>
                  <c:pt idx="0">
                    <c:v>PEMS04</c:v>
                  </c:pt>
                </c:lvl>
              </c:multiLvlStrCache>
            </c:multiLvlStrRef>
          </c:cat>
          <c:val>
            <c:numRef>
              <c:f>消融!$E$20:$E$23</c:f>
              <c:numCache>
                <c:formatCode>General</c:formatCode>
                <c:ptCount val="4"/>
                <c:pt idx="0">
                  <c:v>27.355799999999999</c:v>
                </c:pt>
                <c:pt idx="1">
                  <c:v>22.731200000000001</c:v>
                </c:pt>
                <c:pt idx="2">
                  <c:v>22.3887</c:v>
                </c:pt>
                <c:pt idx="3">
                  <c:v>20.882100000000001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1-4E13-B12D-6F276EB0DD50}"/>
            </c:ext>
          </c:extLst>
        </c:ser>
        <c:ser>
          <c:idx val="1"/>
          <c:order val="1"/>
          <c:tx>
            <c:strRef>
              <c:f>消融!$F$19</c:f>
              <c:strCache>
                <c:ptCount val="1"/>
                <c:pt idx="0">
                  <c:v>RMSE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消融!$B$20:$D$23</c:f>
              <c:multiLvlStrCache>
                <c:ptCount val="4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</c:lvl>
                <c:lvl>
                  <c:pt idx="0">
                    <c:v>PEMS04</c:v>
                  </c:pt>
                </c:lvl>
              </c:multiLvlStrCache>
            </c:multiLvlStrRef>
          </c:cat>
          <c:val>
            <c:numRef>
              <c:f>消融!$F$20:$F$23</c:f>
              <c:numCache>
                <c:formatCode>General</c:formatCode>
                <c:ptCount val="4"/>
                <c:pt idx="0">
                  <c:v>42.442100000000003</c:v>
                </c:pt>
                <c:pt idx="1">
                  <c:v>36.114100000000001</c:v>
                </c:pt>
                <c:pt idx="2">
                  <c:v>34.788800000000002</c:v>
                </c:pt>
                <c:pt idx="3">
                  <c:v>33.100099999999998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A1-4E13-B12D-6F276EB0DD50}"/>
            </c:ext>
          </c:extLst>
        </c:ser>
        <c:ser>
          <c:idx val="2"/>
          <c:order val="2"/>
          <c:tx>
            <c:strRef>
              <c:f>消融!$G$19</c:f>
              <c:strCache>
                <c:ptCount val="1"/>
                <c:pt idx="0">
                  <c:v>MAPE%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消融!$B$20:$D$23</c:f>
              <c:multiLvlStrCache>
                <c:ptCount val="4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</c:lvl>
                <c:lvl>
                  <c:pt idx="0">
                    <c:v>PEMS04</c:v>
                  </c:pt>
                </c:lvl>
              </c:multiLvlStrCache>
            </c:multiLvlStrRef>
          </c:cat>
          <c:val>
            <c:numRef>
              <c:f>消融!$G$20:$G$23</c:f>
              <c:numCache>
                <c:formatCode>General</c:formatCode>
                <c:ptCount val="4"/>
                <c:pt idx="0">
                  <c:v>21.130179999999999</c:v>
                </c:pt>
                <c:pt idx="1">
                  <c:v>18.013100000000001</c:v>
                </c:pt>
                <c:pt idx="2">
                  <c:v>17.549959999999999</c:v>
                </c:pt>
                <c:pt idx="3">
                  <c:v>16.43835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A1-4E13-B12D-6F276EB0D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543792"/>
        <c:axId val="607541392"/>
      </c:lineChart>
      <c:catAx>
        <c:axId val="60754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去除模块</a:t>
                </a:r>
                <a:endParaRPr lang="en-US" altLang="zh-CN" sz="1000" b="0" i="0" u="none" strike="noStrike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7541392"/>
        <c:crosses val="autoZero"/>
        <c:auto val="1"/>
        <c:lblAlgn val="ctr"/>
        <c:lblOffset val="100"/>
        <c:noMultiLvlLbl val="0"/>
      </c:catAx>
      <c:valAx>
        <c:axId val="607541392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预测误差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7543792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51524633405370523"/>
          <c:y val="0.17460711331679074"/>
          <c:w val="0.44372749886615892"/>
          <c:h val="6.97895703483714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消融!$B$20:$D$20</c:f>
              <c:strCache>
                <c:ptCount val="3"/>
                <c:pt idx="0">
                  <c:v>PEMS04</c:v>
                </c:pt>
                <c:pt idx="1">
                  <c:v>AGFB</c:v>
                </c:pt>
                <c:pt idx="2">
                  <c:v>Spatial Attn.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消融!$E$19:$G$19</c:f>
              <c:strCache>
                <c:ptCount val="3"/>
                <c:pt idx="0">
                  <c:v>MAE</c:v>
                </c:pt>
                <c:pt idx="1">
                  <c:v>RMSE</c:v>
                </c:pt>
                <c:pt idx="2">
                  <c:v>MAPE%</c:v>
                </c:pt>
              </c:strCache>
            </c:strRef>
          </c:cat>
          <c:val>
            <c:numRef>
              <c:f>消融!$E$20:$G$20</c:f>
              <c:numCache>
                <c:formatCode>General</c:formatCode>
                <c:ptCount val="3"/>
                <c:pt idx="0">
                  <c:v>27.355799999999999</c:v>
                </c:pt>
                <c:pt idx="1">
                  <c:v>42.442100000000003</c:v>
                </c:pt>
                <c:pt idx="2">
                  <c:v>21.130179999999999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3-4271-AEA3-9663D92791E6}"/>
            </c:ext>
          </c:extLst>
        </c:ser>
        <c:ser>
          <c:idx val="1"/>
          <c:order val="1"/>
          <c:tx>
            <c:strRef>
              <c:f>消融!$B$21:$D$21</c:f>
              <c:strCache>
                <c:ptCount val="3"/>
                <c:pt idx="0">
                  <c:v>PEMS04</c:v>
                </c:pt>
                <c:pt idx="1">
                  <c:v>SFB</c:v>
                </c:pt>
                <c:pt idx="2">
                  <c:v>Ada-GCN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消融!$E$19:$G$19</c:f>
              <c:strCache>
                <c:ptCount val="3"/>
                <c:pt idx="0">
                  <c:v>MAE</c:v>
                </c:pt>
                <c:pt idx="1">
                  <c:v>RMSE</c:v>
                </c:pt>
                <c:pt idx="2">
                  <c:v>MAPE%</c:v>
                </c:pt>
              </c:strCache>
            </c:strRef>
          </c:cat>
          <c:val>
            <c:numRef>
              <c:f>消融!$E$21:$G$21</c:f>
              <c:numCache>
                <c:formatCode>General</c:formatCode>
                <c:ptCount val="3"/>
                <c:pt idx="0">
                  <c:v>22.731200000000001</c:v>
                </c:pt>
                <c:pt idx="1">
                  <c:v>36.114100000000001</c:v>
                </c:pt>
                <c:pt idx="2">
                  <c:v>18.013100000000001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3-4271-AEA3-9663D92791E6}"/>
            </c:ext>
          </c:extLst>
        </c:ser>
        <c:ser>
          <c:idx val="2"/>
          <c:order val="2"/>
          <c:tx>
            <c:strRef>
              <c:f>消融!$B$22:$D$22</c:f>
              <c:strCache>
                <c:ptCount val="3"/>
                <c:pt idx="0">
                  <c:v>PEMS04</c:v>
                </c:pt>
                <c:pt idx="1">
                  <c:v>SAGO</c:v>
                </c:pt>
                <c:pt idx="2">
                  <c:v>Freq. Attn.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消融!$E$19:$G$19</c:f>
              <c:strCache>
                <c:ptCount val="3"/>
                <c:pt idx="0">
                  <c:v>MAE</c:v>
                </c:pt>
                <c:pt idx="1">
                  <c:v>RMSE</c:v>
                </c:pt>
                <c:pt idx="2">
                  <c:v>MAPE%</c:v>
                </c:pt>
              </c:strCache>
            </c:strRef>
          </c:cat>
          <c:val>
            <c:numRef>
              <c:f>消融!$E$22:$G$22</c:f>
              <c:numCache>
                <c:formatCode>General</c:formatCode>
                <c:ptCount val="3"/>
                <c:pt idx="0">
                  <c:v>22.3887</c:v>
                </c:pt>
                <c:pt idx="1">
                  <c:v>34.788800000000002</c:v>
                </c:pt>
                <c:pt idx="2">
                  <c:v>17.549959999999999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3-4271-AEA3-9663D92791E6}"/>
            </c:ext>
          </c:extLst>
        </c:ser>
        <c:ser>
          <c:idx val="3"/>
          <c:order val="3"/>
          <c:tx>
            <c:strRef>
              <c:f>消融!$B$23:$D$23</c:f>
              <c:strCache>
                <c:ptCount val="3"/>
                <c:pt idx="0">
                  <c:v>PEMS04</c:v>
                </c:pt>
                <c:pt idx="1">
                  <c:v>SAGFA</c:v>
                </c:pt>
                <c:pt idx="2">
                  <c:v>完整模型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消融!$E$19:$G$19</c:f>
              <c:strCache>
                <c:ptCount val="3"/>
                <c:pt idx="0">
                  <c:v>MAE</c:v>
                </c:pt>
                <c:pt idx="1">
                  <c:v>RMSE</c:v>
                </c:pt>
                <c:pt idx="2">
                  <c:v>MAPE%</c:v>
                </c:pt>
              </c:strCache>
            </c:strRef>
          </c:cat>
          <c:val>
            <c:numRef>
              <c:f>消融!$E$23:$G$23</c:f>
              <c:numCache>
                <c:formatCode>General</c:formatCode>
                <c:ptCount val="3"/>
                <c:pt idx="0">
                  <c:v>20.882100000000001</c:v>
                </c:pt>
                <c:pt idx="1">
                  <c:v>33.100099999999998</c:v>
                </c:pt>
                <c:pt idx="2">
                  <c:v>16.43835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3-4271-AEA3-9663D9279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848000"/>
        <c:axId val="697848480"/>
      </c:barChart>
      <c:catAx>
        <c:axId val="6978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7848480"/>
        <c:crosses val="autoZero"/>
        <c:auto val="1"/>
        <c:lblAlgn val="ctr"/>
        <c:lblOffset val="100"/>
        <c:noMultiLvlLbl val="0"/>
      </c:catAx>
      <c:valAx>
        <c:axId val="6978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78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/>
              <a:t>去除模块对预测误差的影响图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407436653699047"/>
          <c:y val="0.1107324983880737"/>
          <c:w val="0.8465867804210514"/>
          <c:h val="0.55388783598080027"/>
        </c:manualLayout>
      </c:layout>
      <c:lineChart>
        <c:grouping val="standard"/>
        <c:varyColors val="0"/>
        <c:ser>
          <c:idx val="0"/>
          <c:order val="0"/>
          <c:tx>
            <c:strRef>
              <c:f>消融!$E$19</c:f>
              <c:strCache>
                <c:ptCount val="1"/>
                <c:pt idx="0">
                  <c:v>MAE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消融!$B$24:$D$27</c:f>
              <c:multiLvlStrCache>
                <c:ptCount val="4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</c:lvl>
                <c:lvl>
                  <c:pt idx="0">
                    <c:v>PEMS07</c:v>
                  </c:pt>
                </c:lvl>
              </c:multiLvlStrCache>
            </c:multiLvlStrRef>
          </c:cat>
          <c:val>
            <c:numRef>
              <c:f>消融!$E$24:$E$27</c:f>
              <c:numCache>
                <c:formatCode>General</c:formatCode>
                <c:ptCount val="4"/>
                <c:pt idx="0">
                  <c:v>31.097899999999999</c:v>
                </c:pt>
                <c:pt idx="1">
                  <c:v>24.137499999999999</c:v>
                </c:pt>
                <c:pt idx="2">
                  <c:v>24.7301</c:v>
                </c:pt>
                <c:pt idx="3">
                  <c:v>23.726500000000001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C-4998-A9AA-3ECF71D1CEC3}"/>
            </c:ext>
          </c:extLst>
        </c:ser>
        <c:ser>
          <c:idx val="1"/>
          <c:order val="1"/>
          <c:tx>
            <c:strRef>
              <c:f>消融!$F$19</c:f>
              <c:strCache>
                <c:ptCount val="1"/>
                <c:pt idx="0">
                  <c:v>RMSE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消融!$B$24:$D$27</c:f>
              <c:multiLvlStrCache>
                <c:ptCount val="4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</c:lvl>
                <c:lvl>
                  <c:pt idx="0">
                    <c:v>PEMS07</c:v>
                  </c:pt>
                </c:lvl>
              </c:multiLvlStrCache>
            </c:multiLvlStrRef>
          </c:cat>
          <c:val>
            <c:numRef>
              <c:f>消融!$F$24:$F$27</c:f>
              <c:numCache>
                <c:formatCode>General</c:formatCode>
                <c:ptCount val="4"/>
                <c:pt idx="0">
                  <c:v>46.369100000000003</c:v>
                </c:pt>
                <c:pt idx="1">
                  <c:v>37.476799999999997</c:v>
                </c:pt>
                <c:pt idx="2">
                  <c:v>37.218299999999999</c:v>
                </c:pt>
                <c:pt idx="3">
                  <c:v>36.4726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C-4998-A9AA-3ECF71D1CEC3}"/>
            </c:ext>
          </c:extLst>
        </c:ser>
        <c:ser>
          <c:idx val="2"/>
          <c:order val="2"/>
          <c:tx>
            <c:strRef>
              <c:f>消融!$G$19</c:f>
              <c:strCache>
                <c:ptCount val="1"/>
                <c:pt idx="0">
                  <c:v>MAPE%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消融!$B$24:$D$27</c:f>
              <c:multiLvlStrCache>
                <c:ptCount val="4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</c:lvl>
                <c:lvl>
                  <c:pt idx="0">
                    <c:v>PEMS07</c:v>
                  </c:pt>
                </c:lvl>
              </c:multiLvlStrCache>
            </c:multiLvlStrRef>
          </c:cat>
          <c:val>
            <c:numRef>
              <c:f>消融!$G$24:$G$27</c:f>
              <c:numCache>
                <c:formatCode>General</c:formatCode>
                <c:ptCount val="4"/>
                <c:pt idx="0">
                  <c:v>13.759600000000001</c:v>
                </c:pt>
                <c:pt idx="1">
                  <c:v>10.6363</c:v>
                </c:pt>
                <c:pt idx="2">
                  <c:v>11.058</c:v>
                </c:pt>
                <c:pt idx="3">
                  <c:v>10.341200000000001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AC-4998-A9AA-3ECF71D1C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543792"/>
        <c:axId val="607541392"/>
      </c:lineChart>
      <c:catAx>
        <c:axId val="60754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去除模块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7541392"/>
        <c:crosses val="autoZero"/>
        <c:auto val="1"/>
        <c:lblAlgn val="ctr"/>
        <c:lblOffset val="100"/>
        <c:noMultiLvlLbl val="0"/>
      </c:catAx>
      <c:valAx>
        <c:axId val="60754139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预测误差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7543792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51793072250443339"/>
          <c:y val="0.13192721257237386"/>
          <c:w val="0.42900371537761511"/>
          <c:h val="6.66752740492083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/>
              <a:t>去除模块对预测误差的影响图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408606735130447"/>
          <c:y val="0.14433416046319272"/>
          <c:w val="0.84657231281065204"/>
          <c:h val="0.52907394019916243"/>
        </c:manualLayout>
      </c:layout>
      <c:lineChart>
        <c:grouping val="standard"/>
        <c:varyColors val="0"/>
        <c:ser>
          <c:idx val="0"/>
          <c:order val="0"/>
          <c:tx>
            <c:strRef>
              <c:f>消融!$E$19</c:f>
              <c:strCache>
                <c:ptCount val="1"/>
                <c:pt idx="0">
                  <c:v>MAE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消融!$B$28:$D$31</c:f>
              <c:multiLvlStrCache>
                <c:ptCount val="4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</c:lvl>
                <c:lvl>
                  <c:pt idx="0">
                    <c:v>PEMS08</c:v>
                  </c:pt>
                </c:lvl>
              </c:multiLvlStrCache>
            </c:multiLvlStrRef>
          </c:cat>
          <c:val>
            <c:numRef>
              <c:f>消融!$E$28:$E$31</c:f>
              <c:numCache>
                <c:formatCode>General</c:formatCode>
                <c:ptCount val="4"/>
                <c:pt idx="0">
                  <c:v>21.331800000000001</c:v>
                </c:pt>
                <c:pt idx="1">
                  <c:v>19.004200000000001</c:v>
                </c:pt>
                <c:pt idx="2">
                  <c:v>17.7043</c:v>
                </c:pt>
                <c:pt idx="3">
                  <c:v>16.354700000000001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B-40EE-ADCA-A99256B01907}"/>
            </c:ext>
          </c:extLst>
        </c:ser>
        <c:ser>
          <c:idx val="1"/>
          <c:order val="1"/>
          <c:tx>
            <c:strRef>
              <c:f>消融!$F$19</c:f>
              <c:strCache>
                <c:ptCount val="1"/>
                <c:pt idx="0">
                  <c:v>RMSE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消融!$B$28:$D$31</c:f>
              <c:multiLvlStrCache>
                <c:ptCount val="4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</c:lvl>
                <c:lvl>
                  <c:pt idx="0">
                    <c:v>PEMS08</c:v>
                  </c:pt>
                </c:lvl>
              </c:multiLvlStrCache>
            </c:multiLvlStrRef>
          </c:cat>
          <c:val>
            <c:numRef>
              <c:f>消融!$F$28:$F$31</c:f>
              <c:numCache>
                <c:formatCode>General</c:formatCode>
                <c:ptCount val="4"/>
                <c:pt idx="0">
                  <c:v>33.565600000000003</c:v>
                </c:pt>
                <c:pt idx="1">
                  <c:v>29.7225</c:v>
                </c:pt>
                <c:pt idx="2">
                  <c:v>27.4344</c:v>
                </c:pt>
                <c:pt idx="3">
                  <c:v>26.042100000000001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B-40EE-ADCA-A99256B01907}"/>
            </c:ext>
          </c:extLst>
        </c:ser>
        <c:ser>
          <c:idx val="2"/>
          <c:order val="2"/>
          <c:tx>
            <c:strRef>
              <c:f>消融!$G$19</c:f>
              <c:strCache>
                <c:ptCount val="1"/>
                <c:pt idx="0">
                  <c:v>MAPE%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消融!$B$28:$D$31</c:f>
              <c:multiLvlStrCache>
                <c:ptCount val="4"/>
                <c:lvl>
                  <c:pt idx="0">
                    <c:v>Spatial Attn.</c:v>
                  </c:pt>
                  <c:pt idx="1">
                    <c:v>Ada-GCN</c:v>
                  </c:pt>
                  <c:pt idx="2">
                    <c:v>Freq. Attn.</c:v>
                  </c:pt>
                  <c:pt idx="3">
                    <c:v>完整模型</c:v>
                  </c:pt>
                </c:lvl>
                <c:lvl>
                  <c:pt idx="0">
                    <c:v>AGFB</c:v>
                  </c:pt>
                  <c:pt idx="1">
                    <c:v>SFB</c:v>
                  </c:pt>
                  <c:pt idx="2">
                    <c:v>SAGO</c:v>
                  </c:pt>
                  <c:pt idx="3">
                    <c:v>SAGFA</c:v>
                  </c:pt>
                </c:lvl>
                <c:lvl>
                  <c:pt idx="0">
                    <c:v>PEMS08</c:v>
                  </c:pt>
                </c:lvl>
              </c:multiLvlStrCache>
            </c:multiLvlStrRef>
          </c:cat>
          <c:val>
            <c:numRef>
              <c:f>消融!$G$28:$G$31</c:f>
              <c:numCache>
                <c:formatCode>General</c:formatCode>
                <c:ptCount val="4"/>
                <c:pt idx="0">
                  <c:v>13.031700000000001</c:v>
                </c:pt>
                <c:pt idx="1">
                  <c:v>12.8895</c:v>
                </c:pt>
                <c:pt idx="2">
                  <c:v>10.97472</c:v>
                </c:pt>
                <c:pt idx="3">
                  <c:v>10.813700000000001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BB-40EE-ADCA-A99256B01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543792"/>
        <c:axId val="607541392"/>
      </c:lineChart>
      <c:catAx>
        <c:axId val="60754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去除模块</a:t>
                </a:r>
              </a:p>
            </c:rich>
          </c:tx>
          <c:layout>
            <c:manualLayout>
              <c:xMode val="edge"/>
              <c:yMode val="edge"/>
              <c:x val="0.48602156409526692"/>
              <c:y val="0.89898627745973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7541392"/>
        <c:crosses val="autoZero"/>
        <c:auto val="1"/>
        <c:lblAlgn val="ctr"/>
        <c:lblOffset val="100"/>
        <c:noMultiLvlLbl val="0"/>
      </c:catAx>
      <c:valAx>
        <c:axId val="60754139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预测误差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7543792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51602184763991088"/>
          <c:y val="0.15204112203096204"/>
          <c:w val="0.44414509186351708"/>
          <c:h val="7.1383748351253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213360</xdr:colOff>
      <xdr:row>1</xdr:row>
      <xdr:rowOff>114300</xdr:rowOff>
    </xdr:from>
    <xdr:to>
      <xdr:col>23</xdr:col>
      <xdr:colOff>60960</xdr:colOff>
      <xdr:row>23</xdr:row>
      <xdr:rowOff>121920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E3956F4-AAB0-073D-4F4E-E6E7BD615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83820</xdr:colOff>
      <xdr:row>3</xdr:row>
      <xdr:rowOff>91440</xdr:rowOff>
    </xdr:from>
    <xdr:to>
      <xdr:col>32</xdr:col>
      <xdr:colOff>358140</xdr:colOff>
      <xdr:row>24</xdr:row>
      <xdr:rowOff>30480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A5E665C-CE67-7933-372C-1BB3BADE7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373380</xdr:colOff>
      <xdr:row>2</xdr:row>
      <xdr:rowOff>83820</xdr:rowOff>
    </xdr:from>
    <xdr:to>
      <xdr:col>68</xdr:col>
      <xdr:colOff>373380</xdr:colOff>
      <xdr:row>26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D6637EC-FB73-4C68-8B9E-24B1A8745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320040</xdr:colOff>
      <xdr:row>27</xdr:row>
      <xdr:rowOff>167640</xdr:rowOff>
    </xdr:from>
    <xdr:to>
      <xdr:col>68</xdr:col>
      <xdr:colOff>403860</xdr:colOff>
      <xdr:row>48</xdr:row>
      <xdr:rowOff>53340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8622047-6960-4D2A-B68D-4E4292A43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312420</xdr:colOff>
      <xdr:row>28</xdr:row>
      <xdr:rowOff>91440</xdr:rowOff>
    </xdr:from>
    <xdr:to>
      <xdr:col>24</xdr:col>
      <xdr:colOff>22860</xdr:colOff>
      <xdr:row>48</xdr:row>
      <xdr:rowOff>160020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9A6B083-66F0-428B-B5E7-6CFC38D5A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114300</xdr:colOff>
      <xdr:row>28</xdr:row>
      <xdr:rowOff>60960</xdr:rowOff>
    </xdr:from>
    <xdr:to>
      <xdr:col>33</xdr:col>
      <xdr:colOff>274320</xdr:colOff>
      <xdr:row>48</xdr:row>
      <xdr:rowOff>129540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71310FE-83ED-49CB-B181-11E2EBE18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441960</xdr:colOff>
      <xdr:row>50</xdr:row>
      <xdr:rowOff>152400</xdr:rowOff>
    </xdr:from>
    <xdr:to>
      <xdr:col>24</xdr:col>
      <xdr:colOff>152400</xdr:colOff>
      <xdr:row>71</xdr:row>
      <xdr:rowOff>38100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F1709C63-E63F-4295-A3AB-BC0650FBC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426720</xdr:colOff>
      <xdr:row>51</xdr:row>
      <xdr:rowOff>0</xdr:rowOff>
    </xdr:from>
    <xdr:to>
      <xdr:col>34</xdr:col>
      <xdr:colOff>68580</xdr:colOff>
      <xdr:row>71</xdr:row>
      <xdr:rowOff>68580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23613254-B808-4DAD-8BB9-4E32F84C5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261256</xdr:colOff>
      <xdr:row>50</xdr:row>
      <xdr:rowOff>174172</xdr:rowOff>
    </xdr:from>
    <xdr:to>
      <xdr:col>69</xdr:col>
      <xdr:colOff>256902</xdr:colOff>
      <xdr:row>71</xdr:row>
      <xdr:rowOff>57695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5414ABA8-C003-49A6-A024-D810A5DD4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1272540</xdr:colOff>
      <xdr:row>15</xdr:row>
      <xdr:rowOff>60960</xdr:rowOff>
    </xdr:from>
    <xdr:to>
      <xdr:col>9</xdr:col>
      <xdr:colOff>297180</xdr:colOff>
      <xdr:row>38</xdr:row>
      <xdr:rowOff>30480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1074919-39DB-3785-5380-9445FF44B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1303020</xdr:colOff>
      <xdr:row>18</xdr:row>
      <xdr:rowOff>152400</xdr:rowOff>
    </xdr:from>
    <xdr:ext cx="184731" cy="264560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353972AF-58E6-046B-7A9B-CFEDC034CB09}"/>
            </a:ext>
          </a:extLst>
        </xdr:cNvPr>
        <xdr:cNvSpPr txBox="1"/>
      </xdr:nvSpPr>
      <xdr:spPr>
        <a:xfrm>
          <a:off x="1912620" y="33070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altLang="zh-CN" sz="1100" kern="1200"/>
        </a:p>
      </xdr:txBody>
    </xdr:sp>
    <xdr:clientData/>
  </xdr:oneCellAnchor>
  <xdr:twoCellAnchor>
    <xdr:from>
      <xdr:col>10</xdr:col>
      <xdr:colOff>251460</xdr:colOff>
      <xdr:row>15</xdr:row>
      <xdr:rowOff>30480</xdr:rowOff>
    </xdr:from>
    <xdr:to>
      <xdr:col>18</xdr:col>
      <xdr:colOff>518160</xdr:colOff>
      <xdr:row>36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9E95517-F414-BCD5-8F3C-17E430D73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0.88776</cdr:x>
      <cdr:y>0.90635</cdr:y>
    </cdr:from>
    <cdr:to>
      <cdr:x>0.94389</cdr:x>
      <cdr:y>0.97316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C0C15FFD-2ED5-28C3-6472-6A039719385E}"/>
            </a:ext>
          </a:extLst>
        </cdr:cNvPr>
        <cdr:cNvSpPr txBox="1"/>
      </cdr:nvSpPr>
      <cdr:spPr>
        <a:xfrm xmlns:a="http://schemas.openxmlformats.org/drawingml/2006/main">
          <a:off x="4830036" y="3349604"/>
          <a:ext cx="305386" cy="2469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0.88776</cdr:x>
      <cdr:y>0.90635</cdr:y>
    </cdr:from>
    <cdr:to>
      <cdr:x>0.94389</cdr:x>
      <cdr:y>0.97316</cdr:y>
    </cdr:to>
    <cdr:sp macro="" textlink="">
      <cdr:nvSpPr>
        <cdr:cNvPr id="5" name="文本框 2">
          <a:extLst xmlns:a="http://schemas.openxmlformats.org/drawingml/2006/main">
            <a:ext uri="{FF2B5EF4-FFF2-40B4-BE49-F238E27FC236}">
              <a16:creationId xmlns:a16="http://schemas.microsoft.com/office/drawing/2014/main" id="{C0C15FFD-2ED5-28C3-6472-6A039719385E}"/>
            </a:ext>
          </a:extLst>
        </cdr:cNvPr>
        <cdr:cNvSpPr txBox="1"/>
      </cdr:nvSpPr>
      <cdr:spPr>
        <a:xfrm xmlns:a="http://schemas.openxmlformats.org/drawingml/2006/main">
          <a:off x="4830036" y="3349604"/>
          <a:ext cx="305386" cy="2469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6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0.88776</cdr:x>
      <cdr:y>0.90635</cdr:y>
    </cdr:from>
    <cdr:to>
      <cdr:x>0.94389</cdr:x>
      <cdr:y>0.97316</cdr:y>
    </cdr:to>
    <cdr:sp macro="" textlink="">
      <cdr:nvSpPr>
        <cdr:cNvPr id="7" name="文本框 2">
          <a:extLst xmlns:a="http://schemas.openxmlformats.org/drawingml/2006/main">
            <a:ext uri="{FF2B5EF4-FFF2-40B4-BE49-F238E27FC236}">
              <a16:creationId xmlns:a16="http://schemas.microsoft.com/office/drawing/2014/main" id="{C0C15FFD-2ED5-28C3-6472-6A039719385E}"/>
            </a:ext>
          </a:extLst>
        </cdr:cNvPr>
        <cdr:cNvSpPr txBox="1"/>
      </cdr:nvSpPr>
      <cdr:spPr>
        <a:xfrm xmlns:a="http://schemas.openxmlformats.org/drawingml/2006/main">
          <a:off x="4830036" y="3349604"/>
          <a:ext cx="305386" cy="2469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8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0.88776</cdr:x>
      <cdr:y>0.90635</cdr:y>
    </cdr:from>
    <cdr:to>
      <cdr:x>0.94389</cdr:x>
      <cdr:y>0.97316</cdr:y>
    </cdr:to>
    <cdr:sp macro="" textlink="">
      <cdr:nvSpPr>
        <cdr:cNvPr id="9" name="文本框 2">
          <a:extLst xmlns:a="http://schemas.openxmlformats.org/drawingml/2006/main">
            <a:ext uri="{FF2B5EF4-FFF2-40B4-BE49-F238E27FC236}">
              <a16:creationId xmlns:a16="http://schemas.microsoft.com/office/drawing/2014/main" id="{C0C15FFD-2ED5-28C3-6472-6A039719385E}"/>
            </a:ext>
          </a:extLst>
        </cdr:cNvPr>
        <cdr:cNvSpPr txBox="1"/>
      </cdr:nvSpPr>
      <cdr:spPr>
        <a:xfrm xmlns:a="http://schemas.openxmlformats.org/drawingml/2006/main">
          <a:off x="4830036" y="3349604"/>
          <a:ext cx="305386" cy="2469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490817</xdr:colOff>
      <xdr:row>11</xdr:row>
      <xdr:rowOff>139850</xdr:rowOff>
    </xdr:from>
    <xdr:to>
      <xdr:col>5</xdr:col>
      <xdr:colOff>1210235</xdr:colOff>
      <xdr:row>33</xdr:row>
      <xdr:rowOff>132230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3DB2BE-40BF-4927-B79F-F7360D773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609599</xdr:colOff>
      <xdr:row>11</xdr:row>
      <xdr:rowOff>121920</xdr:rowOff>
    </xdr:from>
    <xdr:to>
      <xdr:col>13</xdr:col>
      <xdr:colOff>143435</xdr:colOff>
      <xdr:row>32</xdr:row>
      <xdr:rowOff>137160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A638069-D63E-6531-B874-DB14DBE5D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433445</xdr:colOff>
      <xdr:row>11</xdr:row>
      <xdr:rowOff>76649</xdr:rowOff>
    </xdr:from>
    <xdr:to>
      <xdr:col>20</xdr:col>
      <xdr:colOff>439270</xdr:colOff>
      <xdr:row>31</xdr:row>
      <xdr:rowOff>44824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B2201F9-5260-47C4-AFBA-EC40D64C8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484095</xdr:colOff>
      <xdr:row>11</xdr:row>
      <xdr:rowOff>35862</xdr:rowOff>
    </xdr:from>
    <xdr:to>
      <xdr:col>27</xdr:col>
      <xdr:colOff>475130</xdr:colOff>
      <xdr:row>30</xdr:row>
      <xdr:rowOff>71719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D104334-253A-4A49-9BE8-6D7367733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0.64986</cdr:x>
      <cdr:y>0.92078</cdr:y>
    </cdr:from>
    <cdr:to>
      <cdr:x>0.88927</cdr:x>
      <cdr:y>1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C0C15FFD-2ED5-28C3-6472-6A039719385E}"/>
            </a:ext>
          </a:extLst>
        </cdr:cNvPr>
        <cdr:cNvSpPr txBox="1"/>
      </cdr:nvSpPr>
      <cdr:spPr>
        <a:xfrm xmlns:a="http://schemas.openxmlformats.org/drawingml/2006/main">
          <a:off x="3535680" y="3543265"/>
          <a:ext cx="1302543" cy="304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11</xdr:row>
      <xdr:rowOff>144780</xdr:rowOff>
    </xdr:from>
    <xdr:to>
      <xdr:col>6</xdr:col>
      <xdr:colOff>594360</xdr:colOff>
      <xdr:row>30</xdr:row>
      <xdr:rowOff>91440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830699A-71C4-C6A0-DB33-8B2729EA5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403860</xdr:colOff>
      <xdr:row>12</xdr:row>
      <xdr:rowOff>53340</xdr:rowOff>
    </xdr:from>
    <xdr:to>
      <xdr:col>14</xdr:col>
      <xdr:colOff>525780</xdr:colOff>
      <xdr:row>30</xdr:row>
      <xdr:rowOff>68580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880688D-E5A2-4D71-8853-CDADDC24E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6</xdr:col>
      <xdr:colOff>198120</xdr:colOff>
      <xdr:row>36</xdr:row>
      <xdr:rowOff>81131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B883BD7-3797-4F8B-8AD1-040EBC75B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281940</xdr:colOff>
      <xdr:row>13</xdr:row>
      <xdr:rowOff>167640</xdr:rowOff>
    </xdr:from>
    <xdr:to>
      <xdr:col>11</xdr:col>
      <xdr:colOff>594360</xdr:colOff>
      <xdr:row>36</xdr:row>
      <xdr:rowOff>73511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32DCF43-5572-454C-BB3A-048CCACCF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0.64986</cdr:x>
      <cdr:y>0.92078</cdr:y>
    </cdr:from>
    <cdr:to>
      <cdr:x>0.88927</cdr:x>
      <cdr:y>1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C0C15FFD-2ED5-28C3-6472-6A039719385E}"/>
            </a:ext>
          </a:extLst>
        </cdr:cNvPr>
        <cdr:cNvSpPr txBox="1"/>
      </cdr:nvSpPr>
      <cdr:spPr>
        <a:xfrm xmlns:a="http://schemas.openxmlformats.org/drawingml/2006/main">
          <a:off x="3535680" y="3543265"/>
          <a:ext cx="1302543" cy="304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0.20385</cdr:x>
      <cdr:y>0.8944</cdr:y>
    </cdr:from>
    <cdr:to>
      <cdr:x>0.30527</cdr:x>
      <cdr:y>0.98707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994D608-C869-9D48-8100-FFA0C2670788}"/>
            </a:ext>
          </a:extLst>
        </cdr:cNvPr>
        <cdr:cNvSpPr txBox="1"/>
      </cdr:nvSpPr>
      <cdr:spPr>
        <a:xfrm xmlns:a="http://schemas.openxmlformats.org/drawingml/2006/main">
          <a:off x="1531620" y="3162300"/>
          <a:ext cx="762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0.64986</cdr:x>
      <cdr:y>0.92078</cdr:y>
    </cdr:from>
    <cdr:to>
      <cdr:x>0.88927</cdr:x>
      <cdr:y>1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C0C15FFD-2ED5-28C3-6472-6A039719385E}"/>
            </a:ext>
          </a:extLst>
        </cdr:cNvPr>
        <cdr:cNvSpPr txBox="1"/>
      </cdr:nvSpPr>
      <cdr:spPr>
        <a:xfrm xmlns:a="http://schemas.openxmlformats.org/drawingml/2006/main">
          <a:off x="3535680" y="3543265"/>
          <a:ext cx="1302543" cy="304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273423</xdr:colOff>
      <xdr:row>52</xdr:row>
      <xdr:rowOff>74407</xdr:rowOff>
    </xdr:from>
    <xdr:to>
      <xdr:col>22</xdr:col>
      <xdr:colOff>433444</xdr:colOff>
      <xdr:row>74</xdr:row>
      <xdr:rowOff>131781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F1FE2B5-CB24-6AB7-8EFD-1C589AE15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518160</xdr:colOff>
      <xdr:row>33</xdr:row>
      <xdr:rowOff>30480</xdr:rowOff>
    </xdr:from>
    <xdr:to>
      <xdr:col>7</xdr:col>
      <xdr:colOff>22860</xdr:colOff>
      <xdr:row>50</xdr:row>
      <xdr:rowOff>53340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CB47CAF-E3EA-0169-DB5A-ED84C21E7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36755</xdr:colOff>
      <xdr:row>55</xdr:row>
      <xdr:rowOff>94578</xdr:rowOff>
    </xdr:from>
    <xdr:to>
      <xdr:col>8</xdr:col>
      <xdr:colOff>770965</xdr:colOff>
      <xdr:row>71</xdr:row>
      <xdr:rowOff>29584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4D2575A-1047-9C4A-9D61-2E965692B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33</xdr:row>
      <xdr:rowOff>35859</xdr:rowOff>
    </xdr:from>
    <xdr:to>
      <xdr:col>15</xdr:col>
      <xdr:colOff>8964</xdr:colOff>
      <xdr:row>51</xdr:row>
      <xdr:rowOff>22860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B87FD30-075C-48DE-A103-1825773AF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313764</xdr:colOff>
      <xdr:row>33</xdr:row>
      <xdr:rowOff>8965</xdr:rowOff>
    </xdr:from>
    <xdr:to>
      <xdr:col>22</xdr:col>
      <xdr:colOff>457199</xdr:colOff>
      <xdr:row>50</xdr:row>
      <xdr:rowOff>175260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82C750E-B61D-442E-A5DA-F79561AC9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3532-C0EC-47F2-9B5C-C37D657B206A}">
  <dimension ref="A2:E4"/>
  <sheetViews>
    <sheetView workbookViewId="0">
      <selection activeCell="F12" sqref="F12"/>
    </sheetView>
  </sheetViews>
  <sheetFormatPr defaultRowHeight="14"/>
  <sheetData>
    <row r="2" spans="1:5" ht="14.35" thickBot="1">
      <c r="A2" s="1" t="s">
        <v>7</v>
      </c>
    </row>
    <row r="3" spans="1:5" ht="23.7" thickBot="1">
      <c r="A3" s="2" t="s">
        <v>8</v>
      </c>
      <c r="B3" s="3" t="s">
        <v>9</v>
      </c>
      <c r="C3" s="3" t="s">
        <v>10</v>
      </c>
      <c r="D3" s="3" t="s">
        <v>11</v>
      </c>
      <c r="E3" s="4" t="s">
        <v>12</v>
      </c>
    </row>
    <row r="4" spans="1:5" ht="57" thickBot="1">
      <c r="A4" s="5" t="s">
        <v>13</v>
      </c>
      <c r="B4" s="6" t="s">
        <v>14</v>
      </c>
      <c r="C4" s="6" t="s">
        <v>15</v>
      </c>
      <c r="D4" s="6" t="s">
        <v>16</v>
      </c>
      <c r="E4" s="7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3186-98E8-4AF3-BDDA-884D6BBD74FA}">
  <dimension ref="B1:BN84"/>
  <sheetViews>
    <sheetView topLeftCell="A22" zoomScaleNormal="100" workbookViewId="0">
      <selection activeCell="B2" sqref="B2:N86"/>
    </sheetView>
  </sheetViews>
  <sheetFormatPr defaultColWidth="8.87890625" defaultRowHeight="14"/>
  <cols>
    <col min="1" max="1" width="4" style="28" customWidth="1"/>
    <col min="2" max="2" width="11.64453125" style="28" bestFit="1" customWidth="1"/>
    <col min="3" max="4" width="7.41015625" style="28" bestFit="1" customWidth="1"/>
    <col min="5" max="5" width="7.64453125" style="28" bestFit="1" customWidth="1"/>
    <col min="6" max="7" width="7.41015625" style="28" bestFit="1" customWidth="1"/>
    <col min="8" max="8" width="7.64453125" style="28" bestFit="1" customWidth="1"/>
    <col min="9" max="10" width="7" style="28" bestFit="1" customWidth="1"/>
    <col min="11" max="11" width="8" style="28" bestFit="1" customWidth="1"/>
    <col min="12" max="13" width="7.41015625" style="28" bestFit="1" customWidth="1"/>
    <col min="14" max="14" width="7.64453125" style="28" bestFit="1" customWidth="1"/>
    <col min="15" max="15" width="10.1171875" style="28" bestFit="1" customWidth="1"/>
    <col min="16" max="17" width="6.52734375" style="28" bestFit="1" customWidth="1"/>
    <col min="18" max="18" width="7.52734375" style="28" bestFit="1" customWidth="1"/>
    <col min="19" max="20" width="6.52734375" style="28" bestFit="1" customWidth="1"/>
    <col min="21" max="21" width="7.52734375" style="28" bestFit="1" customWidth="1"/>
    <col min="22" max="23" width="6.52734375" style="28" bestFit="1" customWidth="1"/>
    <col min="24" max="24" width="7.52734375" style="28" bestFit="1" customWidth="1"/>
    <col min="25" max="26" width="6.52734375" style="28" bestFit="1" customWidth="1"/>
    <col min="27" max="27" width="7.52734375" style="28" bestFit="1" customWidth="1"/>
    <col min="28" max="28" width="10.1171875" style="28" bestFit="1" customWidth="1"/>
    <col min="29" max="30" width="6.52734375" style="28" bestFit="1" customWidth="1"/>
    <col min="31" max="31" width="7.52734375" style="28" bestFit="1" customWidth="1"/>
    <col min="32" max="32" width="6.52734375" style="28" bestFit="1" customWidth="1"/>
    <col min="33" max="34" width="7.52734375" style="28" bestFit="1" customWidth="1"/>
    <col min="35" max="36" width="6.52734375" style="28" bestFit="1" customWidth="1"/>
    <col min="37" max="37" width="7.52734375" style="28" bestFit="1" customWidth="1"/>
    <col min="38" max="39" width="6.52734375" style="28" bestFit="1" customWidth="1"/>
    <col min="40" max="40" width="7.52734375" style="28" bestFit="1" customWidth="1"/>
    <col min="41" max="41" width="10.1171875" style="28" hidden="1" customWidth="1"/>
    <col min="42" max="42" width="5.52734375" style="28" hidden="1" customWidth="1"/>
    <col min="43" max="44" width="7.52734375" style="28" hidden="1" customWidth="1"/>
    <col min="45" max="45" width="5.52734375" style="28" hidden="1" customWidth="1"/>
    <col min="46" max="46" width="6.41015625" style="28" hidden="1" customWidth="1"/>
    <col min="47" max="47" width="7.52734375" style="28" hidden="1" customWidth="1"/>
    <col min="48" max="48" width="5.52734375" style="28" hidden="1" customWidth="1"/>
    <col min="49" max="49" width="6.41015625" style="28" hidden="1" customWidth="1"/>
    <col min="50" max="50" width="7.52734375" style="28" hidden="1" customWidth="1"/>
    <col min="51" max="51" width="5.52734375" style="28" hidden="1" customWidth="1"/>
    <col min="52" max="52" width="6.41015625" style="28" hidden="1" customWidth="1"/>
    <col min="53" max="53" width="7.52734375" style="28" hidden="1" customWidth="1"/>
    <col min="54" max="54" width="11" style="28" hidden="1" customWidth="1"/>
    <col min="55" max="66" width="0" style="28" hidden="1" customWidth="1"/>
    <col min="67" max="16384" width="8.87890625" style="28"/>
  </cols>
  <sheetData>
    <row r="1" spans="2:66" ht="14.35" thickBot="1"/>
    <row r="2" spans="2:66" ht="14.35" thickBot="1">
      <c r="B2" s="30"/>
      <c r="C2" s="70" t="s">
        <v>31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AO2" s="30"/>
      <c r="AP2" s="70" t="s">
        <v>6</v>
      </c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2"/>
      <c r="BB2" s="30"/>
      <c r="BC2" s="70" t="s">
        <v>38</v>
      </c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2"/>
    </row>
    <row r="3" spans="2:66" ht="14.35" thickBot="1">
      <c r="B3" s="34" t="s">
        <v>35</v>
      </c>
      <c r="C3" s="73" t="s">
        <v>28</v>
      </c>
      <c r="D3" s="74"/>
      <c r="E3" s="75"/>
      <c r="F3" s="73" t="s">
        <v>29</v>
      </c>
      <c r="G3" s="74"/>
      <c r="H3" s="75"/>
      <c r="I3" s="73" t="s">
        <v>30</v>
      </c>
      <c r="J3" s="74"/>
      <c r="K3" s="75"/>
      <c r="L3" s="73" t="s">
        <v>32</v>
      </c>
      <c r="M3" s="74"/>
      <c r="N3" s="75"/>
      <c r="AO3" s="34" t="s">
        <v>35</v>
      </c>
      <c r="AP3" s="73" t="s">
        <v>28</v>
      </c>
      <c r="AQ3" s="74"/>
      <c r="AR3" s="75"/>
      <c r="AS3" s="73" t="s">
        <v>29</v>
      </c>
      <c r="AT3" s="74"/>
      <c r="AU3" s="75"/>
      <c r="AV3" s="73" t="s">
        <v>30</v>
      </c>
      <c r="AW3" s="74"/>
      <c r="AX3" s="75"/>
      <c r="AY3" s="73" t="s">
        <v>32</v>
      </c>
      <c r="AZ3" s="74"/>
      <c r="BA3" s="75"/>
      <c r="BB3" s="34" t="s">
        <v>35</v>
      </c>
      <c r="BC3" s="73" t="s">
        <v>28</v>
      </c>
      <c r="BD3" s="74"/>
      <c r="BE3" s="75"/>
      <c r="BF3" s="73" t="s">
        <v>29</v>
      </c>
      <c r="BG3" s="74"/>
      <c r="BH3" s="75"/>
      <c r="BI3" s="73" t="s">
        <v>30</v>
      </c>
      <c r="BJ3" s="74"/>
      <c r="BK3" s="75"/>
      <c r="BL3" s="74" t="s">
        <v>32</v>
      </c>
      <c r="BM3" s="74"/>
      <c r="BN3" s="75"/>
    </row>
    <row r="4" spans="2:66">
      <c r="B4" s="34" t="s">
        <v>34</v>
      </c>
      <c r="C4" s="31" t="s">
        <v>3</v>
      </c>
      <c r="D4" s="32" t="s">
        <v>4</v>
      </c>
      <c r="E4" s="33" t="s">
        <v>59</v>
      </c>
      <c r="F4" s="31" t="s">
        <v>3</v>
      </c>
      <c r="G4" s="32" t="s">
        <v>4</v>
      </c>
      <c r="H4" s="33" t="s">
        <v>59</v>
      </c>
      <c r="I4" s="31" t="s">
        <v>3</v>
      </c>
      <c r="J4" s="32" t="s">
        <v>4</v>
      </c>
      <c r="K4" s="33" t="s">
        <v>59</v>
      </c>
      <c r="L4" s="31" t="s">
        <v>3</v>
      </c>
      <c r="M4" s="32" t="s">
        <v>4</v>
      </c>
      <c r="N4" s="33" t="s">
        <v>59</v>
      </c>
      <c r="AO4" s="34" t="s">
        <v>34</v>
      </c>
      <c r="AP4" s="31" t="s">
        <v>3</v>
      </c>
      <c r="AQ4" s="32" t="s">
        <v>4</v>
      </c>
      <c r="AR4" s="33" t="s">
        <v>5</v>
      </c>
      <c r="AS4" s="31" t="s">
        <v>3</v>
      </c>
      <c r="AT4" s="32" t="s">
        <v>4</v>
      </c>
      <c r="AU4" s="33" t="s">
        <v>5</v>
      </c>
      <c r="AV4" s="31" t="s">
        <v>3</v>
      </c>
      <c r="AW4" s="32" t="s">
        <v>4</v>
      </c>
      <c r="AX4" s="33" t="s">
        <v>5</v>
      </c>
      <c r="AY4" s="31" t="s">
        <v>3</v>
      </c>
      <c r="AZ4" s="32" t="s">
        <v>4</v>
      </c>
      <c r="BA4" s="33" t="s">
        <v>5</v>
      </c>
      <c r="BB4" s="34" t="s">
        <v>34</v>
      </c>
      <c r="BC4" s="31" t="s">
        <v>3</v>
      </c>
      <c r="BD4" s="32" t="s">
        <v>4</v>
      </c>
      <c r="BE4" s="33" t="s">
        <v>5</v>
      </c>
      <c r="BF4" s="31" t="s">
        <v>3</v>
      </c>
      <c r="BG4" s="32" t="s">
        <v>4</v>
      </c>
      <c r="BH4" s="33" t="s">
        <v>5</v>
      </c>
      <c r="BI4" s="31" t="s">
        <v>3</v>
      </c>
      <c r="BJ4" s="32" t="s">
        <v>4</v>
      </c>
      <c r="BK4" s="33" t="s">
        <v>5</v>
      </c>
      <c r="BL4" s="32" t="s">
        <v>3</v>
      </c>
      <c r="BM4" s="32" t="s">
        <v>4</v>
      </c>
      <c r="BN4" s="33" t="s">
        <v>5</v>
      </c>
    </row>
    <row r="5" spans="2:66">
      <c r="B5" s="34" t="s">
        <v>81</v>
      </c>
      <c r="C5" s="35">
        <v>42.33</v>
      </c>
      <c r="D5" s="28">
        <v>61.64</v>
      </c>
      <c r="E5" s="36">
        <v>29.9</v>
      </c>
      <c r="F5" s="35">
        <v>42.35</v>
      </c>
      <c r="G5" s="28">
        <v>61.66</v>
      </c>
      <c r="H5" s="36">
        <v>29.92</v>
      </c>
      <c r="I5" s="35">
        <v>42.37</v>
      </c>
      <c r="J5" s="28">
        <v>61.67</v>
      </c>
      <c r="K5" s="36">
        <v>29.959999999999997</v>
      </c>
      <c r="L5" s="35">
        <v>42.36</v>
      </c>
      <c r="M5" s="28">
        <v>61.66</v>
      </c>
      <c r="N5" s="36">
        <v>29.92</v>
      </c>
      <c r="AO5" s="34" t="s">
        <v>18</v>
      </c>
      <c r="AP5" s="35">
        <v>3.06</v>
      </c>
      <c r="AQ5" s="28">
        <v>7.05</v>
      </c>
      <c r="AR5" s="36">
        <v>6.8500000000000005</v>
      </c>
      <c r="AS5" s="35">
        <v>3.06</v>
      </c>
      <c r="AT5" s="28">
        <v>7.05</v>
      </c>
      <c r="AU5" s="36">
        <v>6.84</v>
      </c>
      <c r="AV5" s="35">
        <v>3.05</v>
      </c>
      <c r="AW5" s="28">
        <v>7.03</v>
      </c>
      <c r="AX5" s="36">
        <v>6.83</v>
      </c>
      <c r="AY5" s="35">
        <v>3.06</v>
      </c>
      <c r="AZ5" s="28">
        <v>7.04</v>
      </c>
      <c r="BA5" s="36">
        <v>6.84</v>
      </c>
      <c r="BB5" s="34" t="s">
        <v>39</v>
      </c>
      <c r="BC5" s="35">
        <v>23.57</v>
      </c>
      <c r="BD5" s="28">
        <v>36.479999999999997</v>
      </c>
      <c r="BE5" s="36">
        <v>22.13</v>
      </c>
      <c r="BF5" s="35">
        <v>27.51</v>
      </c>
      <c r="BG5" s="28">
        <v>44.99</v>
      </c>
      <c r="BH5" s="36">
        <v>29.14</v>
      </c>
      <c r="BI5" s="35">
        <v>40.11</v>
      </c>
      <c r="BJ5" s="28">
        <v>61.16</v>
      </c>
      <c r="BK5" s="36">
        <v>39.1</v>
      </c>
      <c r="BL5" s="37">
        <v>30.03</v>
      </c>
      <c r="BM5" s="29">
        <v>47.17</v>
      </c>
      <c r="BN5" s="38">
        <v>28.63</v>
      </c>
    </row>
    <row r="6" spans="2:66">
      <c r="B6" s="34" t="s">
        <v>19</v>
      </c>
      <c r="C6" s="35">
        <v>21.94</v>
      </c>
      <c r="D6" s="28">
        <v>34.299999999999997</v>
      </c>
      <c r="E6" s="36">
        <v>16.420000000000002</v>
      </c>
      <c r="F6" s="35">
        <v>23.72</v>
      </c>
      <c r="G6" s="28">
        <v>36.58</v>
      </c>
      <c r="H6" s="36">
        <v>18.02</v>
      </c>
      <c r="I6" s="35">
        <v>26.76</v>
      </c>
      <c r="J6" s="28">
        <v>40.28</v>
      </c>
      <c r="K6" s="36">
        <v>20.94</v>
      </c>
      <c r="L6" s="35">
        <v>23.51</v>
      </c>
      <c r="M6" s="28">
        <v>36.39</v>
      </c>
      <c r="N6" s="36">
        <v>17.849999999999998</v>
      </c>
      <c r="AO6" s="34" t="s">
        <v>19</v>
      </c>
      <c r="AP6" s="35">
        <v>1.74</v>
      </c>
      <c r="AQ6" s="28">
        <v>3.16</v>
      </c>
      <c r="AR6" s="36">
        <v>3.5999999999999996</v>
      </c>
      <c r="AS6" s="35">
        <v>2.3199999999999998</v>
      </c>
      <c r="AT6" s="28">
        <v>4.25</v>
      </c>
      <c r="AU6" s="36">
        <v>5</v>
      </c>
      <c r="AV6" s="35">
        <v>2.93</v>
      </c>
      <c r="AW6" s="28">
        <v>5.44</v>
      </c>
      <c r="AX6" s="36">
        <v>6.5</v>
      </c>
      <c r="AY6" s="35">
        <v>2.21</v>
      </c>
      <c r="AZ6" s="28">
        <v>4.12</v>
      </c>
      <c r="BA6" s="36">
        <v>5.01</v>
      </c>
      <c r="BB6" s="34" t="s">
        <v>19</v>
      </c>
      <c r="BC6" s="35">
        <v>17.41</v>
      </c>
      <c r="BD6" s="28">
        <v>25.42</v>
      </c>
      <c r="BE6" s="36">
        <v>18.2</v>
      </c>
      <c r="BF6" s="35">
        <v>22.13</v>
      </c>
      <c r="BG6" s="28">
        <v>32.200000000000003</v>
      </c>
      <c r="BH6" s="36">
        <v>24.28</v>
      </c>
      <c r="BI6" s="35">
        <v>31.65</v>
      </c>
      <c r="BJ6" s="28">
        <v>44.89</v>
      </c>
      <c r="BK6" s="36">
        <v>37.42</v>
      </c>
      <c r="BL6" s="28">
        <v>22.91</v>
      </c>
      <c r="BM6" s="28">
        <v>33.04</v>
      </c>
      <c r="BN6" s="36">
        <v>25.53</v>
      </c>
    </row>
    <row r="7" spans="2:66">
      <c r="B7" s="34" t="s">
        <v>20</v>
      </c>
      <c r="C7" s="35">
        <v>21.37</v>
      </c>
      <c r="D7" s="28">
        <v>33.31</v>
      </c>
      <c r="E7" s="36">
        <v>15.21</v>
      </c>
      <c r="F7" s="35">
        <v>23.72</v>
      </c>
      <c r="G7" s="28">
        <v>36.58</v>
      </c>
      <c r="H7" s="36">
        <v>18.02</v>
      </c>
      <c r="I7" s="35">
        <v>26.76</v>
      </c>
      <c r="J7" s="28">
        <v>40.28</v>
      </c>
      <c r="K7" s="36">
        <v>20.94</v>
      </c>
      <c r="L7" s="35">
        <v>23.81</v>
      </c>
      <c r="M7" s="28">
        <v>36.619999999999997</v>
      </c>
      <c r="N7" s="36">
        <v>18.12</v>
      </c>
      <c r="AO7" s="34" t="s">
        <v>20</v>
      </c>
      <c r="AP7" s="35">
        <v>2.0499999999999998</v>
      </c>
      <c r="AQ7" s="28">
        <v>4.1900000000000004</v>
      </c>
      <c r="AR7" s="36">
        <v>4.8</v>
      </c>
      <c r="AS7" s="35">
        <v>2.2000000000000002</v>
      </c>
      <c r="AT7" s="28">
        <v>4.55</v>
      </c>
      <c r="AU7" s="36">
        <v>5.2</v>
      </c>
      <c r="AV7" s="35">
        <v>2.37</v>
      </c>
      <c r="AW7" s="28">
        <v>4.96</v>
      </c>
      <c r="AX7" s="36">
        <v>5.7</v>
      </c>
      <c r="AY7" s="35">
        <v>2.1800000000000002</v>
      </c>
      <c r="AZ7" s="28">
        <v>4.47</v>
      </c>
      <c r="BA7" s="36">
        <v>5.04</v>
      </c>
      <c r="BB7" s="34" t="s">
        <v>20</v>
      </c>
      <c r="BC7" s="35">
        <v>16.690000000000001</v>
      </c>
      <c r="BD7" s="28">
        <v>25.54</v>
      </c>
      <c r="BE7" s="36">
        <v>16.02</v>
      </c>
      <c r="BF7" s="35">
        <v>20.03</v>
      </c>
      <c r="BG7" s="28">
        <v>30.4</v>
      </c>
      <c r="BH7" s="36">
        <v>19.34</v>
      </c>
      <c r="BI7" s="35">
        <v>27.42</v>
      </c>
      <c r="BJ7" s="28">
        <v>40.200000000000003</v>
      </c>
      <c r="BK7" s="36">
        <v>29.48</v>
      </c>
      <c r="BL7" s="28">
        <v>20.64</v>
      </c>
      <c r="BM7" s="28">
        <v>31.63</v>
      </c>
      <c r="BN7" s="36">
        <v>20.57</v>
      </c>
    </row>
    <row r="8" spans="2:66">
      <c r="B8" s="34" t="s">
        <v>41</v>
      </c>
      <c r="C8" s="35">
        <v>21.02</v>
      </c>
      <c r="D8" s="28">
        <v>31.33</v>
      </c>
      <c r="E8" s="36">
        <v>14.94</v>
      </c>
      <c r="F8" s="35">
        <v>22.37</v>
      </c>
      <c r="G8" s="28">
        <v>33.049999999999997</v>
      </c>
      <c r="H8" s="36">
        <v>16.239999999999998</v>
      </c>
      <c r="I8" s="35">
        <v>23.72</v>
      </c>
      <c r="J8" s="28">
        <v>34.729999999999997</v>
      </c>
      <c r="K8" s="36">
        <v>17.41</v>
      </c>
      <c r="L8" s="35">
        <v>21.1</v>
      </c>
      <c r="M8" s="28">
        <v>31.46</v>
      </c>
      <c r="N8" s="36">
        <v>15.13</v>
      </c>
      <c r="AO8" s="34" t="s">
        <v>48</v>
      </c>
      <c r="AP8" s="35" t="s">
        <v>46</v>
      </c>
      <c r="AQ8" s="28" t="s">
        <v>46</v>
      </c>
      <c r="AR8" s="36" t="s">
        <v>46</v>
      </c>
      <c r="AS8" s="35" t="s">
        <v>46</v>
      </c>
      <c r="AT8" s="28" t="s">
        <v>46</v>
      </c>
      <c r="AU8" s="36" t="s">
        <v>46</v>
      </c>
      <c r="AV8" s="35" t="s">
        <v>46</v>
      </c>
      <c r="AW8" s="28" t="s">
        <v>46</v>
      </c>
      <c r="AX8" s="36" t="s">
        <v>46</v>
      </c>
      <c r="AY8" s="35" t="s">
        <v>46</v>
      </c>
      <c r="AZ8" s="28" t="s">
        <v>46</v>
      </c>
      <c r="BA8" s="36" t="s">
        <v>46</v>
      </c>
      <c r="BB8" s="34" t="s">
        <v>41</v>
      </c>
      <c r="BC8" s="35">
        <v>14.97</v>
      </c>
      <c r="BD8" s="28">
        <v>23.86</v>
      </c>
      <c r="BE8" s="36">
        <v>15.63</v>
      </c>
      <c r="BF8" s="35">
        <v>16.54</v>
      </c>
      <c r="BG8" s="28">
        <v>26.22</v>
      </c>
      <c r="BH8" s="36">
        <v>17.149999999999999</v>
      </c>
      <c r="BI8" s="35">
        <v>19.079999999999998</v>
      </c>
      <c r="BJ8" s="28">
        <v>29.57</v>
      </c>
      <c r="BK8" s="36">
        <v>19.489999999999998</v>
      </c>
      <c r="BL8" s="28">
        <v>16.54</v>
      </c>
      <c r="BM8" s="28">
        <v>26.25</v>
      </c>
      <c r="BN8" s="36">
        <v>17.149999999999999</v>
      </c>
    </row>
    <row r="9" spans="2:66" ht="14.35" thickBot="1">
      <c r="B9" s="34" t="s">
        <v>37</v>
      </c>
      <c r="C9" s="35">
        <v>19.55</v>
      </c>
      <c r="D9" s="28">
        <v>31.16</v>
      </c>
      <c r="E9" s="36">
        <v>12.99</v>
      </c>
      <c r="F9" s="35">
        <v>20.32</v>
      </c>
      <c r="G9" s="28">
        <v>32.39</v>
      </c>
      <c r="H9" s="36">
        <v>13.39</v>
      </c>
      <c r="I9" s="35">
        <v>23.63</v>
      </c>
      <c r="J9" s="28">
        <v>37.21</v>
      </c>
      <c r="K9" s="36">
        <v>15.31</v>
      </c>
      <c r="L9" s="35">
        <v>20.59</v>
      </c>
      <c r="M9" s="28">
        <v>32.85</v>
      </c>
      <c r="N9" s="36">
        <v>13.53</v>
      </c>
      <c r="AO9" s="39" t="s">
        <v>50</v>
      </c>
      <c r="AP9" s="40" t="s">
        <v>46</v>
      </c>
      <c r="AQ9" s="41" t="s">
        <v>46</v>
      </c>
      <c r="AR9" s="42" t="s">
        <v>46</v>
      </c>
      <c r="AS9" s="40" t="s">
        <v>46</v>
      </c>
      <c r="AT9" s="41" t="s">
        <v>46</v>
      </c>
      <c r="AU9" s="42" t="s">
        <v>46</v>
      </c>
      <c r="AV9" s="40" t="s">
        <v>46</v>
      </c>
      <c r="AW9" s="41" t="s">
        <v>46</v>
      </c>
      <c r="AX9" s="42" t="s">
        <v>46</v>
      </c>
      <c r="AY9" s="40" t="s">
        <v>46</v>
      </c>
      <c r="AZ9" s="41" t="s">
        <v>46</v>
      </c>
      <c r="BA9" s="42" t="s">
        <v>46</v>
      </c>
      <c r="BB9" s="39" t="s">
        <v>37</v>
      </c>
      <c r="BC9" s="40">
        <v>15.24</v>
      </c>
      <c r="BD9" s="41">
        <v>25.25</v>
      </c>
      <c r="BE9" s="42">
        <v>15.31</v>
      </c>
      <c r="BF9" s="40">
        <v>14.63</v>
      </c>
      <c r="BG9" s="41">
        <v>15.65</v>
      </c>
      <c r="BH9" s="42">
        <v>16.71</v>
      </c>
      <c r="BI9" s="40">
        <v>27.64</v>
      </c>
      <c r="BJ9" s="41">
        <v>18.63</v>
      </c>
      <c r="BK9" s="42">
        <v>20.25</v>
      </c>
      <c r="BL9" s="41">
        <v>16.96</v>
      </c>
      <c r="BM9" s="41">
        <v>28.15</v>
      </c>
      <c r="BN9" s="42">
        <v>15.97</v>
      </c>
    </row>
    <row r="10" spans="2:66">
      <c r="B10" s="34" t="s">
        <v>23</v>
      </c>
      <c r="C10" s="35">
        <v>19.48</v>
      </c>
      <c r="D10" s="28">
        <v>30.74</v>
      </c>
      <c r="E10" s="36">
        <v>13.84</v>
      </c>
      <c r="F10" s="35">
        <v>21.4</v>
      </c>
      <c r="G10" s="28">
        <v>33.46</v>
      </c>
      <c r="H10" s="36">
        <v>15.85</v>
      </c>
      <c r="I10" s="35">
        <v>24.9</v>
      </c>
      <c r="J10" s="28">
        <v>38.29</v>
      </c>
      <c r="K10" s="36">
        <v>19.5</v>
      </c>
      <c r="L10" s="35">
        <v>21.61</v>
      </c>
      <c r="M10" s="28">
        <v>33.799999999999997</v>
      </c>
      <c r="N10" s="36">
        <v>16.100000000000001</v>
      </c>
      <c r="AO10" s="34" t="s">
        <v>23</v>
      </c>
      <c r="AP10" s="35">
        <v>1.44</v>
      </c>
      <c r="AQ10" s="28">
        <v>3.12</v>
      </c>
      <c r="AR10" s="36">
        <v>3.08</v>
      </c>
      <c r="AS10" s="35">
        <v>1.93</v>
      </c>
      <c r="AT10" s="28">
        <v>4.38</v>
      </c>
      <c r="AU10" s="36">
        <v>4.54</v>
      </c>
      <c r="AV10" s="35">
        <v>2.57</v>
      </c>
      <c r="AW10" s="28">
        <v>5.88</v>
      </c>
      <c r="AX10" s="36">
        <v>6.5500000000000007</v>
      </c>
      <c r="AY10" s="35">
        <v>1.92</v>
      </c>
      <c r="AZ10" s="28">
        <v>4.46</v>
      </c>
      <c r="BA10" s="36">
        <v>4.54</v>
      </c>
      <c r="BB10" s="34" t="s">
        <v>1</v>
      </c>
      <c r="BC10" s="35">
        <v>15.45</v>
      </c>
      <c r="BD10" s="28">
        <v>25.75</v>
      </c>
      <c r="BE10" s="36">
        <v>14.98</v>
      </c>
      <c r="BF10" s="35">
        <v>17.98</v>
      </c>
      <c r="BG10" s="28">
        <v>29.8</v>
      </c>
      <c r="BH10" s="36">
        <v>17.38</v>
      </c>
      <c r="BI10" s="35">
        <v>23.12</v>
      </c>
      <c r="BJ10" s="28">
        <v>37.18</v>
      </c>
      <c r="BK10" s="36">
        <v>22.54</v>
      </c>
      <c r="BL10" s="28">
        <v>18.309999999999999</v>
      </c>
      <c r="BM10" s="28">
        <v>30.08</v>
      </c>
      <c r="BN10" s="36">
        <v>17.739999999999998</v>
      </c>
    </row>
    <row r="11" spans="2:66">
      <c r="B11" s="34" t="s">
        <v>0</v>
      </c>
      <c r="C11" s="35">
        <v>18.739999999999998</v>
      </c>
      <c r="D11" s="28">
        <v>29.84</v>
      </c>
      <c r="E11" s="36">
        <v>14.42</v>
      </c>
      <c r="F11" s="35">
        <v>19.64</v>
      </c>
      <c r="G11" s="28">
        <v>31.34</v>
      </c>
      <c r="H11" s="36">
        <v>13.270000000000001</v>
      </c>
      <c r="I11" s="35">
        <v>21.12</v>
      </c>
      <c r="J11" s="28">
        <v>33.53</v>
      </c>
      <c r="K11" s="36">
        <v>14.219999999999999</v>
      </c>
      <c r="L11" s="35">
        <v>19.63</v>
      </c>
      <c r="M11" s="28">
        <v>31.32</v>
      </c>
      <c r="N11" s="36">
        <v>13.320000000000002</v>
      </c>
      <c r="AO11" s="34" t="s">
        <v>0</v>
      </c>
      <c r="AP11" s="35">
        <v>1.35</v>
      </c>
      <c r="AQ11" s="28">
        <v>2.88</v>
      </c>
      <c r="AR11" s="36">
        <v>2.88</v>
      </c>
      <c r="AS11" s="35">
        <v>1.69</v>
      </c>
      <c r="AT11" s="28">
        <v>3.83</v>
      </c>
      <c r="AU11" s="36">
        <v>3.85</v>
      </c>
      <c r="AV11" s="35">
        <v>2.0099999999999998</v>
      </c>
      <c r="AW11" s="28">
        <v>4.5599999999999996</v>
      </c>
      <c r="AX11" s="36">
        <v>4.74</v>
      </c>
      <c r="AY11" s="35">
        <v>1.63</v>
      </c>
      <c r="AZ11" s="28">
        <v>3.73</v>
      </c>
      <c r="BA11" s="36">
        <v>3.6900000000000004</v>
      </c>
      <c r="BB11" s="34" t="s">
        <v>40</v>
      </c>
      <c r="BC11" s="35">
        <v>16.059999999999999</v>
      </c>
      <c r="BD11" s="28">
        <v>27.38</v>
      </c>
      <c r="BE11" s="36">
        <v>15.39</v>
      </c>
      <c r="BF11" s="35">
        <v>19.25</v>
      </c>
      <c r="BG11" s="28">
        <v>32.29</v>
      </c>
      <c r="BH11" s="36">
        <v>18.45</v>
      </c>
      <c r="BI11" s="35">
        <v>26.12</v>
      </c>
      <c r="BJ11" s="28">
        <v>41.89</v>
      </c>
      <c r="BK11" s="36">
        <v>26.32</v>
      </c>
      <c r="BL11" s="28">
        <v>19.82</v>
      </c>
      <c r="BM11" s="28">
        <v>32.880000000000003</v>
      </c>
      <c r="BN11" s="36">
        <v>19.21</v>
      </c>
    </row>
    <row r="12" spans="2:66">
      <c r="B12" s="34" t="s">
        <v>24</v>
      </c>
      <c r="C12" s="35">
        <v>18.649999999999999</v>
      </c>
      <c r="D12" s="28">
        <v>30.13</v>
      </c>
      <c r="E12" s="36">
        <v>13.320000000000002</v>
      </c>
      <c r="F12" s="35">
        <v>19.48</v>
      </c>
      <c r="G12" s="28">
        <v>32.020000000000003</v>
      </c>
      <c r="H12" s="36">
        <v>14.08</v>
      </c>
      <c r="I12" s="35">
        <v>20.96</v>
      </c>
      <c r="J12" s="28">
        <v>34.659999999999997</v>
      </c>
      <c r="K12" s="36">
        <v>14.96</v>
      </c>
      <c r="L12" s="35">
        <v>19.5</v>
      </c>
      <c r="M12" s="28">
        <v>32</v>
      </c>
      <c r="N12" s="36">
        <v>14.04</v>
      </c>
      <c r="AO12" s="34" t="s">
        <v>24</v>
      </c>
      <c r="AP12" s="35">
        <v>1.34</v>
      </c>
      <c r="AQ12" s="28">
        <v>2.84</v>
      </c>
      <c r="AR12" s="36">
        <v>2.8000000000000003</v>
      </c>
      <c r="AS12" s="35">
        <v>1.67</v>
      </c>
      <c r="AT12" s="28">
        <v>3.79</v>
      </c>
      <c r="AU12" s="36">
        <v>3.74</v>
      </c>
      <c r="AV12" s="35">
        <v>1.97</v>
      </c>
      <c r="AW12" s="28">
        <v>4.55</v>
      </c>
      <c r="AX12" s="36">
        <v>4.5699999999999994</v>
      </c>
      <c r="AY12" s="35">
        <v>1.6</v>
      </c>
      <c r="AZ12" s="28">
        <v>3.7</v>
      </c>
      <c r="BA12" s="36">
        <v>3.5700000000000003</v>
      </c>
      <c r="BB12" s="34" t="s">
        <v>24</v>
      </c>
      <c r="BC12" s="35" t="s">
        <v>46</v>
      </c>
      <c r="BD12" s="28" t="s">
        <v>46</v>
      </c>
      <c r="BE12" s="36" t="s">
        <v>46</v>
      </c>
      <c r="BF12" s="35" t="s">
        <v>46</v>
      </c>
      <c r="BG12" s="28" t="s">
        <v>46</v>
      </c>
      <c r="BH12" s="36" t="s">
        <v>46</v>
      </c>
      <c r="BI12" s="35" t="s">
        <v>46</v>
      </c>
      <c r="BJ12" s="28" t="s">
        <v>46</v>
      </c>
      <c r="BK12" s="36" t="s">
        <v>46</v>
      </c>
      <c r="BL12" s="28" t="s">
        <v>46</v>
      </c>
      <c r="BM12" s="28" t="s">
        <v>46</v>
      </c>
      <c r="BN12" s="36" t="s">
        <v>46</v>
      </c>
    </row>
    <row r="13" spans="2:66">
      <c r="B13" s="34" t="s">
        <v>1</v>
      </c>
      <c r="C13" s="35">
        <v>18.53</v>
      </c>
      <c r="D13" s="28">
        <v>29.61</v>
      </c>
      <c r="E13" s="36">
        <v>12.709999999999999</v>
      </c>
      <c r="F13" s="35">
        <v>19.649999999999999</v>
      </c>
      <c r="G13" s="28">
        <v>31.37</v>
      </c>
      <c r="H13" s="36">
        <v>13.450000000000001</v>
      </c>
      <c r="I13" s="35">
        <v>21.67</v>
      </c>
      <c r="J13" s="28">
        <v>34.19</v>
      </c>
      <c r="K13" s="36">
        <v>15.03</v>
      </c>
      <c r="L13" s="35">
        <v>19.71</v>
      </c>
      <c r="M13" s="28">
        <v>31.43</v>
      </c>
      <c r="N13" s="36">
        <v>13.54</v>
      </c>
      <c r="AO13" s="34" t="s">
        <v>1</v>
      </c>
      <c r="AP13" s="35">
        <v>1.31</v>
      </c>
      <c r="AQ13" s="28">
        <v>2.8</v>
      </c>
      <c r="AR13" s="36">
        <v>2.73</v>
      </c>
      <c r="AS13" s="35">
        <v>1.67</v>
      </c>
      <c r="AT13" s="28">
        <v>3.81</v>
      </c>
      <c r="AU13" s="36">
        <v>3.75</v>
      </c>
      <c r="AV13" s="35">
        <v>1.99</v>
      </c>
      <c r="AW13" s="28">
        <v>4.66</v>
      </c>
      <c r="AX13" s="36">
        <v>4.7300000000000004</v>
      </c>
      <c r="AY13" s="35">
        <v>1.62</v>
      </c>
      <c r="AZ13" s="28">
        <v>3.74</v>
      </c>
      <c r="BA13" s="36">
        <v>3.61</v>
      </c>
      <c r="BB13" s="34" t="s">
        <v>0</v>
      </c>
      <c r="BC13" s="35">
        <v>18.46</v>
      </c>
      <c r="BD13" s="28">
        <v>31.27</v>
      </c>
      <c r="BE13" s="36">
        <v>19.559999999999999</v>
      </c>
      <c r="BF13" s="35">
        <v>19.55</v>
      </c>
      <c r="BG13" s="28">
        <v>32.590000000000003</v>
      </c>
      <c r="BH13" s="36">
        <v>22.74</v>
      </c>
      <c r="BI13" s="35">
        <v>21.7</v>
      </c>
      <c r="BJ13" s="28">
        <v>35.29</v>
      </c>
      <c r="BK13" s="36">
        <v>24.08</v>
      </c>
      <c r="BL13" s="28">
        <v>19.64</v>
      </c>
      <c r="BM13" s="28">
        <v>32.74</v>
      </c>
      <c r="BN13" s="36">
        <v>21.63</v>
      </c>
    </row>
    <row r="14" spans="2:66">
      <c r="B14" s="34" t="s">
        <v>22</v>
      </c>
      <c r="C14" s="35">
        <v>18.52</v>
      </c>
      <c r="D14" s="28">
        <v>29.79</v>
      </c>
      <c r="E14" s="36">
        <v>12.31</v>
      </c>
      <c r="F14" s="35">
        <v>19.45</v>
      </c>
      <c r="G14" s="28">
        <v>31.45</v>
      </c>
      <c r="H14" s="36">
        <v>12.82</v>
      </c>
      <c r="I14" s="35">
        <v>20.64</v>
      </c>
      <c r="J14" s="28">
        <v>33.31</v>
      </c>
      <c r="K14" s="36">
        <v>13.74</v>
      </c>
      <c r="L14" s="35">
        <v>19.36</v>
      </c>
      <c r="M14" s="28">
        <v>31.28</v>
      </c>
      <c r="N14" s="36">
        <v>12.809999999999999</v>
      </c>
      <c r="AO14" s="34" t="s">
        <v>22</v>
      </c>
      <c r="AP14" s="35">
        <v>1.37</v>
      </c>
      <c r="AQ14" s="28">
        <v>2.93</v>
      </c>
      <c r="AR14" s="36">
        <v>2.9499999999999997</v>
      </c>
      <c r="AS14" s="35">
        <v>1.7</v>
      </c>
      <c r="AT14" s="28">
        <v>3.89</v>
      </c>
      <c r="AU14" s="36">
        <v>3.88</v>
      </c>
      <c r="AV14" s="35">
        <v>1.99</v>
      </c>
      <c r="AW14" s="28">
        <v>4.6399999999999997</v>
      </c>
      <c r="AX14" s="36">
        <v>4.72</v>
      </c>
      <c r="AY14" s="35">
        <v>1.63</v>
      </c>
      <c r="AZ14" s="28">
        <v>3.78</v>
      </c>
      <c r="BA14" s="36">
        <v>3.73</v>
      </c>
      <c r="BB14" s="34" t="s">
        <v>47</v>
      </c>
      <c r="BC14" s="35" t="s">
        <v>46</v>
      </c>
      <c r="BD14" s="28" t="s">
        <v>46</v>
      </c>
      <c r="BE14" s="36" t="s">
        <v>46</v>
      </c>
      <c r="BF14" s="35" t="s">
        <v>46</v>
      </c>
      <c r="BG14" s="28" t="s">
        <v>46</v>
      </c>
      <c r="BH14" s="36" t="s">
        <v>46</v>
      </c>
      <c r="BI14" s="35" t="s">
        <v>46</v>
      </c>
      <c r="BJ14" s="28" t="s">
        <v>46</v>
      </c>
      <c r="BK14" s="36" t="s">
        <v>46</v>
      </c>
      <c r="BL14" s="28">
        <v>14.32</v>
      </c>
      <c r="BM14" s="28">
        <v>21.64</v>
      </c>
      <c r="BN14" s="36">
        <v>16.239999999999998</v>
      </c>
    </row>
    <row r="15" spans="2:66">
      <c r="B15" s="34" t="s">
        <v>42</v>
      </c>
      <c r="C15" s="35">
        <v>18.399999999999999</v>
      </c>
      <c r="D15" s="28">
        <v>29.38</v>
      </c>
      <c r="E15" s="36">
        <v>12.86</v>
      </c>
      <c r="F15" s="35">
        <v>19.64</v>
      </c>
      <c r="G15" s="28">
        <v>31.15</v>
      </c>
      <c r="H15" s="36">
        <v>13.77</v>
      </c>
      <c r="I15" s="35">
        <v>21.82</v>
      </c>
      <c r="J15" s="28">
        <v>34.07</v>
      </c>
      <c r="K15" s="36">
        <v>15.4</v>
      </c>
      <c r="L15" s="35">
        <v>19.739999999999998</v>
      </c>
      <c r="M15" s="28">
        <v>31.12</v>
      </c>
      <c r="N15" s="36">
        <v>13.83</v>
      </c>
      <c r="AO15" s="34" t="s">
        <v>53</v>
      </c>
      <c r="AP15" s="35" t="s">
        <v>46</v>
      </c>
      <c r="AQ15" s="28" t="s">
        <v>46</v>
      </c>
      <c r="AR15" s="36" t="s">
        <v>46</v>
      </c>
      <c r="AS15" s="35" t="s">
        <v>46</v>
      </c>
      <c r="AT15" s="28" t="s">
        <v>46</v>
      </c>
      <c r="AU15" s="36" t="s">
        <v>46</v>
      </c>
      <c r="AV15" s="35" t="s">
        <v>46</v>
      </c>
      <c r="AW15" s="28" t="s">
        <v>46</v>
      </c>
      <c r="AX15" s="36" t="s">
        <v>46</v>
      </c>
      <c r="AY15" s="35" t="s">
        <v>46</v>
      </c>
      <c r="AZ15" s="28" t="s">
        <v>46</v>
      </c>
      <c r="BA15" s="36" t="s">
        <v>46</v>
      </c>
      <c r="BB15" s="34" t="s">
        <v>42</v>
      </c>
      <c r="BC15" s="35">
        <v>13.7</v>
      </c>
      <c r="BD15" s="28">
        <v>23.95</v>
      </c>
      <c r="BE15" s="36">
        <v>13.99</v>
      </c>
      <c r="BF15" s="35">
        <v>14.88</v>
      </c>
      <c r="BG15" s="28">
        <v>25.38</v>
      </c>
      <c r="BH15" s="36">
        <v>14.91</v>
      </c>
      <c r="BI15" s="35">
        <v>16.88</v>
      </c>
      <c r="BJ15" s="28">
        <v>29.13</v>
      </c>
      <c r="BK15" s="36">
        <v>16.63</v>
      </c>
      <c r="BL15" s="28">
        <v>14.93</v>
      </c>
      <c r="BM15" s="28">
        <v>25.83</v>
      </c>
      <c r="BN15" s="36">
        <v>14.96</v>
      </c>
    </row>
    <row r="16" spans="2:66">
      <c r="B16" s="34" t="s">
        <v>25</v>
      </c>
      <c r="C16" s="35">
        <v>18.28</v>
      </c>
      <c r="D16" s="28">
        <v>29.7</v>
      </c>
      <c r="E16" s="36">
        <v>12.280000000000001</v>
      </c>
      <c r="F16" s="35">
        <v>18.920000000000002</v>
      </c>
      <c r="G16" s="28">
        <v>31.12</v>
      </c>
      <c r="H16" s="36">
        <v>12.709999999999999</v>
      </c>
      <c r="I16" s="35">
        <v>20.2</v>
      </c>
      <c r="J16" s="28">
        <v>32.909999999999997</v>
      </c>
      <c r="K16" s="36">
        <v>13.43</v>
      </c>
      <c r="L16" s="35">
        <v>18.96</v>
      </c>
      <c r="M16" s="28">
        <v>30.98</v>
      </c>
      <c r="N16" s="36">
        <v>12.690000000000001</v>
      </c>
      <c r="AO16" s="34" t="s">
        <v>25</v>
      </c>
      <c r="AP16" s="35">
        <v>1.34</v>
      </c>
      <c r="AQ16" s="28">
        <v>2.88</v>
      </c>
      <c r="AR16" s="36">
        <v>2.82</v>
      </c>
      <c r="AS16" s="35">
        <v>1.67</v>
      </c>
      <c r="AT16" s="28">
        <v>3.83</v>
      </c>
      <c r="AU16" s="36">
        <v>3.75</v>
      </c>
      <c r="AV16" s="35">
        <v>1.96</v>
      </c>
      <c r="AW16" s="28">
        <v>4.5199999999999996</v>
      </c>
      <c r="AX16" s="36">
        <v>4.62</v>
      </c>
      <c r="AY16" s="35">
        <v>1.6</v>
      </c>
      <c r="AZ16" s="28">
        <v>3.71</v>
      </c>
      <c r="BA16" s="36">
        <v>3.5999999999999996</v>
      </c>
      <c r="BB16" s="34" t="s">
        <v>25</v>
      </c>
      <c r="BC16" s="35" t="s">
        <v>46</v>
      </c>
      <c r="BD16" s="28" t="s">
        <v>46</v>
      </c>
      <c r="BE16" s="36" t="s">
        <v>46</v>
      </c>
      <c r="BF16" s="35" t="s">
        <v>46</v>
      </c>
      <c r="BG16" s="28" t="s">
        <v>46</v>
      </c>
      <c r="BH16" s="36" t="s">
        <v>46</v>
      </c>
      <c r="BI16" s="35" t="s">
        <v>46</v>
      </c>
      <c r="BJ16" s="28" t="s">
        <v>46</v>
      </c>
      <c r="BK16" s="36" t="s">
        <v>46</v>
      </c>
      <c r="BL16" s="28" t="s">
        <v>46</v>
      </c>
      <c r="BM16" s="28" t="s">
        <v>46</v>
      </c>
      <c r="BN16" s="36" t="s">
        <v>46</v>
      </c>
    </row>
    <row r="17" spans="2:66">
      <c r="B17" s="34" t="s">
        <v>2</v>
      </c>
      <c r="C17" s="35">
        <v>18.27</v>
      </c>
      <c r="D17" s="28">
        <v>29.35</v>
      </c>
      <c r="E17" s="36">
        <v>12.659999999999998</v>
      </c>
      <c r="F17" s="35">
        <v>18.809999999999999</v>
      </c>
      <c r="G17" s="28">
        <v>30.85</v>
      </c>
      <c r="H17" s="36">
        <v>13.25</v>
      </c>
      <c r="I17" s="35">
        <v>20.010000000000002</v>
      </c>
      <c r="J17" s="28">
        <v>31.32</v>
      </c>
      <c r="K17" s="36">
        <v>13.4</v>
      </c>
      <c r="L17" s="35">
        <v>18.829999999999998</v>
      </c>
      <c r="M17" s="28">
        <v>30.93</v>
      </c>
      <c r="N17" s="36">
        <v>13.209999999999999</v>
      </c>
      <c r="AO17" s="34" t="s">
        <v>2</v>
      </c>
      <c r="AP17" s="35">
        <v>1.34</v>
      </c>
      <c r="AQ17" s="28">
        <v>2.92</v>
      </c>
      <c r="AR17" s="36">
        <v>2.88</v>
      </c>
      <c r="AS17" s="35">
        <v>1.65</v>
      </c>
      <c r="AT17" s="28">
        <v>3.81</v>
      </c>
      <c r="AU17" s="36">
        <v>3.71</v>
      </c>
      <c r="AV17" s="35">
        <v>1.89</v>
      </c>
      <c r="AW17" s="28">
        <v>4.38</v>
      </c>
      <c r="AX17" s="36">
        <v>4.51</v>
      </c>
      <c r="AY17" s="35">
        <v>1.58</v>
      </c>
      <c r="AZ17" s="28">
        <v>3.75</v>
      </c>
      <c r="BA17" s="36">
        <v>3.6900000000000004</v>
      </c>
      <c r="BB17" s="34" t="s">
        <v>2</v>
      </c>
      <c r="BC17" s="35">
        <v>15.65</v>
      </c>
      <c r="BD17" s="28">
        <v>26.09</v>
      </c>
      <c r="BE17" s="36">
        <v>16.68</v>
      </c>
      <c r="BF17" s="35">
        <v>16.32</v>
      </c>
      <c r="BG17" s="28">
        <v>27.15</v>
      </c>
      <c r="BH17" s="36">
        <v>16.32</v>
      </c>
      <c r="BI17" s="35">
        <v>17.73</v>
      </c>
      <c r="BJ17" s="28">
        <v>29.26</v>
      </c>
      <c r="BK17" s="36">
        <v>18.91</v>
      </c>
      <c r="BL17" s="28">
        <v>16.45</v>
      </c>
      <c r="BM17" s="28">
        <v>27.31</v>
      </c>
      <c r="BN17" s="36">
        <v>17.47</v>
      </c>
    </row>
    <row r="18" spans="2:66">
      <c r="B18" s="34" t="s">
        <v>43</v>
      </c>
      <c r="C18" s="35">
        <v>18.16</v>
      </c>
      <c r="D18" s="28">
        <v>29.29</v>
      </c>
      <c r="E18" s="36">
        <v>12.39</v>
      </c>
      <c r="F18" s="35">
        <v>19.010000000000002</v>
      </c>
      <c r="G18" s="28">
        <v>30.61</v>
      </c>
      <c r="H18" s="36">
        <v>12.92</v>
      </c>
      <c r="I18" s="35">
        <v>21.68</v>
      </c>
      <c r="J18" s="28">
        <v>33.85</v>
      </c>
      <c r="K18" s="36">
        <v>15.36</v>
      </c>
      <c r="L18" s="35">
        <v>19.66</v>
      </c>
      <c r="M18" s="28">
        <v>30.64</v>
      </c>
      <c r="N18" s="36">
        <v>13.02</v>
      </c>
      <c r="AO18" s="34" t="s">
        <v>52</v>
      </c>
      <c r="AP18" s="35" t="s">
        <v>46</v>
      </c>
      <c r="AQ18" s="28" t="s">
        <v>46</v>
      </c>
      <c r="AR18" s="36" t="s">
        <v>46</v>
      </c>
      <c r="AS18" s="35" t="s">
        <v>46</v>
      </c>
      <c r="AT18" s="28" t="s">
        <v>46</v>
      </c>
      <c r="AU18" s="36" t="s">
        <v>46</v>
      </c>
      <c r="AV18" s="35" t="s">
        <v>46</v>
      </c>
      <c r="AW18" s="28" t="s">
        <v>46</v>
      </c>
      <c r="AX18" s="36" t="s">
        <v>46</v>
      </c>
      <c r="AY18" s="35" t="s">
        <v>46</v>
      </c>
      <c r="AZ18" s="28" t="s">
        <v>46</v>
      </c>
      <c r="BA18" s="36" t="s">
        <v>46</v>
      </c>
      <c r="BB18" s="34" t="s">
        <v>43</v>
      </c>
      <c r="BC18" s="35">
        <v>14.3</v>
      </c>
      <c r="BD18" s="28">
        <v>25.07</v>
      </c>
      <c r="BE18" s="36">
        <v>14.78</v>
      </c>
      <c r="BF18" s="35">
        <v>15.43</v>
      </c>
      <c r="BG18" s="28">
        <v>26.93</v>
      </c>
      <c r="BH18" s="36">
        <v>15.67</v>
      </c>
      <c r="BI18" s="35">
        <v>17.190000000000001</v>
      </c>
      <c r="BJ18" s="28">
        <v>29.57</v>
      </c>
      <c r="BK18" s="36">
        <v>17.21</v>
      </c>
      <c r="BL18" s="28">
        <v>15.47</v>
      </c>
      <c r="BM18" s="28">
        <v>26.92</v>
      </c>
      <c r="BN18" s="36">
        <v>15.74</v>
      </c>
    </row>
    <row r="19" spans="2:66">
      <c r="B19" s="34" t="s">
        <v>21</v>
      </c>
      <c r="C19" s="35">
        <v>18</v>
      </c>
      <c r="D19" s="28">
        <v>28.83</v>
      </c>
      <c r="E19" s="36">
        <v>13.639999999999999</v>
      </c>
      <c r="F19" s="35">
        <v>18.96</v>
      </c>
      <c r="G19" s="28">
        <v>30.33</v>
      </c>
      <c r="H19" s="36">
        <v>14.23</v>
      </c>
      <c r="I19" s="35">
        <v>20.53</v>
      </c>
      <c r="J19" s="28">
        <v>32.54</v>
      </c>
      <c r="K19" s="36">
        <v>15.409999999999998</v>
      </c>
      <c r="L19" s="35">
        <v>18.97</v>
      </c>
      <c r="M19" s="28">
        <v>30.32</v>
      </c>
      <c r="N19" s="36">
        <v>14.26</v>
      </c>
      <c r="AO19" s="34" t="s">
        <v>21</v>
      </c>
      <c r="AP19" s="35">
        <v>1.3</v>
      </c>
      <c r="AQ19" s="28">
        <v>2.78</v>
      </c>
      <c r="AR19" s="36">
        <v>2.71</v>
      </c>
      <c r="AS19" s="35">
        <v>1.63</v>
      </c>
      <c r="AT19" s="28">
        <v>3.73</v>
      </c>
      <c r="AU19" s="36">
        <v>3.66</v>
      </c>
      <c r="AV19" s="35">
        <v>1.95</v>
      </c>
      <c r="AW19" s="28">
        <v>4.5199999999999996</v>
      </c>
      <c r="AX19" s="36">
        <v>4.63</v>
      </c>
      <c r="AY19" s="35">
        <v>1.58</v>
      </c>
      <c r="AZ19" s="28">
        <v>3.65</v>
      </c>
      <c r="BA19" s="36">
        <v>3.52</v>
      </c>
      <c r="BB19" s="34" t="s">
        <v>22</v>
      </c>
      <c r="BC19" s="35">
        <v>14.61</v>
      </c>
      <c r="BD19" s="28">
        <v>25.84</v>
      </c>
      <c r="BE19" s="36">
        <v>13.82</v>
      </c>
      <c r="BF19" s="35">
        <v>15.65</v>
      </c>
      <c r="BG19" s="28">
        <v>27.51</v>
      </c>
      <c r="BH19" s="36">
        <v>14.61</v>
      </c>
      <c r="BI19" s="35">
        <v>17.420000000000002</v>
      </c>
      <c r="BJ19" s="28">
        <v>30.23</v>
      </c>
      <c r="BK19" s="36">
        <v>15.94</v>
      </c>
      <c r="BL19" s="28">
        <v>15.7</v>
      </c>
      <c r="BM19" s="28">
        <v>27.63</v>
      </c>
      <c r="BN19" s="36">
        <v>14.66</v>
      </c>
    </row>
    <row r="20" spans="2:66">
      <c r="B20" s="34" t="s">
        <v>44</v>
      </c>
      <c r="C20" s="35">
        <v>17.64</v>
      </c>
      <c r="D20" s="28">
        <v>28.98</v>
      </c>
      <c r="E20" s="36">
        <v>11.89</v>
      </c>
      <c r="F20" s="35">
        <v>18.68</v>
      </c>
      <c r="G20" s="28">
        <v>30.62</v>
      </c>
      <c r="H20" s="36">
        <v>12.62</v>
      </c>
      <c r="I20" s="35">
        <v>20.03</v>
      </c>
      <c r="J20" s="28">
        <v>32.64</v>
      </c>
      <c r="K20" s="36">
        <v>13.68</v>
      </c>
      <c r="L20" s="35">
        <v>18.64</v>
      </c>
      <c r="M20" s="28">
        <v>30.55</v>
      </c>
      <c r="N20" s="36">
        <v>12.62</v>
      </c>
      <c r="AO20" s="34" t="s">
        <v>49</v>
      </c>
      <c r="AP20" s="35" t="s">
        <v>46</v>
      </c>
      <c r="AQ20" s="28" t="s">
        <v>46</v>
      </c>
      <c r="AR20" s="36" t="s">
        <v>46</v>
      </c>
      <c r="AS20" s="35" t="s">
        <v>46</v>
      </c>
      <c r="AT20" s="28" t="s">
        <v>46</v>
      </c>
      <c r="AU20" s="36" t="s">
        <v>46</v>
      </c>
      <c r="AV20" s="35" t="s">
        <v>46</v>
      </c>
      <c r="AW20" s="28" t="s">
        <v>46</v>
      </c>
      <c r="AX20" s="36" t="s">
        <v>46</v>
      </c>
      <c r="AY20" s="35" t="s">
        <v>46</v>
      </c>
      <c r="AZ20" s="28" t="s">
        <v>46</v>
      </c>
      <c r="BA20" s="36" t="s">
        <v>46</v>
      </c>
      <c r="BB20" s="34" t="s">
        <v>44</v>
      </c>
      <c r="BC20" s="35">
        <v>13.91</v>
      </c>
      <c r="BD20" s="28">
        <v>24.82</v>
      </c>
      <c r="BE20" s="36">
        <v>14.9</v>
      </c>
      <c r="BF20" s="35">
        <v>14.92</v>
      </c>
      <c r="BG20" s="28">
        <v>26.7</v>
      </c>
      <c r="BH20" s="36">
        <v>15.53</v>
      </c>
      <c r="BI20" s="35">
        <v>16.68</v>
      </c>
      <c r="BJ20" s="28">
        <v>29.19</v>
      </c>
      <c r="BK20" s="36">
        <v>18.920000000000002</v>
      </c>
      <c r="BL20" s="28">
        <v>14.96</v>
      </c>
      <c r="BM20" s="28">
        <v>26.62</v>
      </c>
      <c r="BN20" s="36">
        <v>16.54</v>
      </c>
    </row>
    <row r="21" spans="2:66">
      <c r="B21" s="34" t="s">
        <v>26</v>
      </c>
      <c r="C21" s="35">
        <v>17.510000000000002</v>
      </c>
      <c r="D21" s="28">
        <v>28.48</v>
      </c>
      <c r="E21" s="36">
        <v>12</v>
      </c>
      <c r="F21" s="35">
        <v>18.29</v>
      </c>
      <c r="G21" s="28">
        <v>29.86</v>
      </c>
      <c r="H21" s="36">
        <v>12.46</v>
      </c>
      <c r="I21" s="35">
        <v>19.579999999999998</v>
      </c>
      <c r="J21" s="28">
        <v>31.79</v>
      </c>
      <c r="K21" s="36">
        <v>13.38</v>
      </c>
      <c r="L21" s="35">
        <v>18.29</v>
      </c>
      <c r="M21" s="28">
        <v>29.82</v>
      </c>
      <c r="N21" s="36">
        <v>12.49</v>
      </c>
      <c r="AO21" s="34" t="s">
        <v>26</v>
      </c>
      <c r="AP21" s="35">
        <v>1.3</v>
      </c>
      <c r="AQ21" s="28">
        <v>2.81</v>
      </c>
      <c r="AR21" s="36">
        <v>2.73</v>
      </c>
      <c r="AS21" s="35">
        <v>1.62</v>
      </c>
      <c r="AT21" s="28">
        <v>3.72</v>
      </c>
      <c r="AU21" s="36">
        <v>3.6799999999999997</v>
      </c>
      <c r="AV21" s="35">
        <v>1.89</v>
      </c>
      <c r="AW21" s="28">
        <v>4.4000000000000004</v>
      </c>
      <c r="AX21" s="36">
        <v>4.47</v>
      </c>
      <c r="AY21" s="35">
        <v>1.55</v>
      </c>
      <c r="AZ21" s="28">
        <v>3.62</v>
      </c>
      <c r="BA21" s="36">
        <v>3.51</v>
      </c>
      <c r="BB21" s="34" t="s">
        <v>26</v>
      </c>
      <c r="BC21" s="35" t="s">
        <v>46</v>
      </c>
      <c r="BD21" s="28" t="s">
        <v>46</v>
      </c>
      <c r="BE21" s="36" t="s">
        <v>46</v>
      </c>
      <c r="BF21" s="35" t="s">
        <v>46</v>
      </c>
      <c r="BG21" s="28" t="s">
        <v>46</v>
      </c>
      <c r="BH21" s="36" t="s">
        <v>46</v>
      </c>
      <c r="BI21" s="35" t="s">
        <v>46</v>
      </c>
      <c r="BJ21" s="28" t="s">
        <v>46</v>
      </c>
      <c r="BK21" s="36" t="s">
        <v>46</v>
      </c>
      <c r="BL21" s="28" t="s">
        <v>46</v>
      </c>
      <c r="BM21" s="28" t="s">
        <v>46</v>
      </c>
      <c r="BN21" s="36" t="s">
        <v>46</v>
      </c>
    </row>
    <row r="22" spans="2:66">
      <c r="B22" s="34" t="s">
        <v>45</v>
      </c>
      <c r="C22" s="35">
        <v>17.25</v>
      </c>
      <c r="D22" s="28">
        <v>28.48</v>
      </c>
      <c r="E22" s="36">
        <v>11.44</v>
      </c>
      <c r="F22" s="35">
        <v>18.010000000000002</v>
      </c>
      <c r="G22" s="28">
        <v>29.81</v>
      </c>
      <c r="H22" s="36">
        <v>11.89</v>
      </c>
      <c r="I22" s="35">
        <v>19.2</v>
      </c>
      <c r="J22" s="28">
        <v>31.62</v>
      </c>
      <c r="K22" s="36">
        <v>12.72</v>
      </c>
      <c r="L22" s="35">
        <v>17.989999999999998</v>
      </c>
      <c r="M22" s="28">
        <v>29.74</v>
      </c>
      <c r="N22" s="36">
        <v>11.9</v>
      </c>
      <c r="AO22" s="34" t="s">
        <v>51</v>
      </c>
      <c r="AP22" s="35" t="s">
        <v>46</v>
      </c>
      <c r="AQ22" s="28" t="s">
        <v>46</v>
      </c>
      <c r="AR22" s="36" t="s">
        <v>46</v>
      </c>
      <c r="AS22" s="35" t="s">
        <v>46</v>
      </c>
      <c r="AT22" s="28" t="s">
        <v>46</v>
      </c>
      <c r="AU22" s="36" t="s">
        <v>46</v>
      </c>
      <c r="AV22" s="35" t="s">
        <v>46</v>
      </c>
      <c r="AW22" s="28" t="s">
        <v>46</v>
      </c>
      <c r="AX22" s="36" t="s">
        <v>46</v>
      </c>
      <c r="AY22" s="35" t="s">
        <v>46</v>
      </c>
      <c r="AZ22" s="28" t="s">
        <v>46</v>
      </c>
      <c r="BA22" s="36" t="s">
        <v>46</v>
      </c>
      <c r="BB22" s="34" t="s">
        <v>45</v>
      </c>
      <c r="BC22" s="35">
        <v>13.09</v>
      </c>
      <c r="BD22" s="28">
        <v>22.43</v>
      </c>
      <c r="BE22" s="36">
        <v>13.65</v>
      </c>
      <c r="BF22" s="35">
        <v>14.3</v>
      </c>
      <c r="BG22" s="28">
        <v>24.59</v>
      </c>
      <c r="BH22" s="36">
        <v>14.69</v>
      </c>
      <c r="BI22" s="35">
        <v>15.97</v>
      </c>
      <c r="BJ22" s="28">
        <v>27.04</v>
      </c>
      <c r="BK22" s="36">
        <v>16.170000000000002</v>
      </c>
      <c r="BL22" s="28">
        <v>14.2</v>
      </c>
      <c r="BM22" s="28">
        <v>24.26</v>
      </c>
      <c r="BN22" s="36">
        <v>14.52</v>
      </c>
    </row>
    <row r="23" spans="2:66" ht="14.35" thickBot="1">
      <c r="B23" s="34" t="s">
        <v>86</v>
      </c>
      <c r="C23" s="35">
        <v>11.177808000000001</v>
      </c>
      <c r="D23" s="28">
        <v>19.317778000000001</v>
      </c>
      <c r="E23" s="36">
        <v>9.6057579999999998</v>
      </c>
      <c r="F23" s="35">
        <v>14.992013</v>
      </c>
      <c r="G23" s="28">
        <v>24.801310999999998</v>
      </c>
      <c r="H23" s="36">
        <v>12.299506000000001</v>
      </c>
      <c r="I23" s="35">
        <v>20.882076000000001</v>
      </c>
      <c r="J23" s="28">
        <v>33.100116</v>
      </c>
      <c r="K23" s="36">
        <v>16.438348999999999</v>
      </c>
      <c r="L23" s="35">
        <f>(C23+F23+I23)/3</f>
        <v>15.683965666666666</v>
      </c>
      <c r="M23" s="28">
        <f t="shared" ref="M23" si="0">(D23+G23+J23)/3</f>
        <v>25.739735</v>
      </c>
      <c r="N23" s="36">
        <f t="shared" ref="N23" si="1">(E23+H23+K23)/3</f>
        <v>12.781204333333335</v>
      </c>
      <c r="AO23" s="34" t="s">
        <v>33</v>
      </c>
      <c r="AP23" s="35">
        <v>0.78561800000000004</v>
      </c>
      <c r="AQ23" s="28">
        <v>1.712512</v>
      </c>
      <c r="AR23" s="36">
        <v>1.6272479999999998</v>
      </c>
      <c r="AS23" s="35">
        <v>1.052019</v>
      </c>
      <c r="AT23" s="28">
        <v>2.3501080000000001</v>
      </c>
      <c r="AU23" s="36">
        <v>2.2141979999999997</v>
      </c>
      <c r="AV23" s="35">
        <v>2.2122929999999998</v>
      </c>
      <c r="AW23" s="28">
        <v>4.3764339999999997</v>
      </c>
      <c r="AX23" s="36">
        <v>4.8239999999999998</v>
      </c>
      <c r="AY23" s="35">
        <f>(AP23+AS23+AV23)/3</f>
        <v>1.3499766666666666</v>
      </c>
      <c r="AZ23" s="28">
        <f t="shared" ref="AZ23" si="2">(AQ23+AT23+AW23)/3</f>
        <v>2.8130179999999996</v>
      </c>
      <c r="BA23" s="36">
        <f t="shared" ref="BA23" si="3">(AR23+AU23+AX23)/3</f>
        <v>2.8884819999999998</v>
      </c>
      <c r="BB23" s="34" t="s">
        <v>33</v>
      </c>
      <c r="BC23" s="35"/>
      <c r="BE23" s="36"/>
      <c r="BF23" s="35"/>
      <c r="BH23" s="36"/>
      <c r="BI23" s="35"/>
      <c r="BK23" s="36"/>
      <c r="BN23" s="36"/>
    </row>
    <row r="24" spans="2:66" ht="14.35" thickBot="1">
      <c r="B24" s="45" t="s">
        <v>87</v>
      </c>
      <c r="C24" s="48">
        <f>1-C23/MIN(C5:C22)</f>
        <v>0.3520111304347826</v>
      </c>
      <c r="D24" s="46">
        <f t="shared" ref="D24:N24" si="4">1-D23/MIN(D5:D22)</f>
        <v>0.32170723314606742</v>
      </c>
      <c r="E24" s="47">
        <f t="shared" si="4"/>
        <v>0.16033583916083916</v>
      </c>
      <c r="F24" s="48">
        <f t="shared" si="4"/>
        <v>0.16757284841754583</v>
      </c>
      <c r="G24" s="46">
        <f t="shared" si="4"/>
        <v>0.16802042938611206</v>
      </c>
      <c r="H24" s="49">
        <f t="shared" si="4"/>
        <v>-3.4441211101766234E-2</v>
      </c>
      <c r="I24" s="50">
        <f t="shared" si="4"/>
        <v>-8.7608125000000037E-2</v>
      </c>
      <c r="J24" s="51">
        <f t="shared" si="4"/>
        <v>-5.6836398467432936E-2</v>
      </c>
      <c r="K24" s="49">
        <f t="shared" si="4"/>
        <v>-0.29232303459119491</v>
      </c>
      <c r="L24" s="48">
        <f t="shared" si="4"/>
        <v>0.12818423198073003</v>
      </c>
      <c r="M24" s="46">
        <f t="shared" si="4"/>
        <v>0.13450790181573635</v>
      </c>
      <c r="N24" s="49">
        <f t="shared" si="4"/>
        <v>-7.4050784313725693E-2</v>
      </c>
    </row>
    <row r="26" spans="2:66" ht="14.35" thickBot="1">
      <c r="BB26" s="43"/>
      <c r="BC26" s="44"/>
      <c r="BD26" s="43"/>
    </row>
    <row r="27" spans="2:66" ht="14.35" thickBot="1">
      <c r="B27" s="30"/>
      <c r="C27" s="70" t="s">
        <v>27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2"/>
    </row>
    <row r="28" spans="2:66" ht="14.35" thickBot="1">
      <c r="B28" s="34" t="s">
        <v>35</v>
      </c>
      <c r="C28" s="73" t="s">
        <v>28</v>
      </c>
      <c r="D28" s="74"/>
      <c r="E28" s="75"/>
      <c r="F28" s="73" t="s">
        <v>29</v>
      </c>
      <c r="G28" s="74"/>
      <c r="H28" s="75"/>
      <c r="I28" s="73" t="s">
        <v>30</v>
      </c>
      <c r="J28" s="74"/>
      <c r="K28" s="75"/>
      <c r="L28" s="73" t="s">
        <v>32</v>
      </c>
      <c r="M28" s="74"/>
      <c r="N28" s="75"/>
    </row>
    <row r="29" spans="2:66">
      <c r="B29" s="34" t="s">
        <v>34</v>
      </c>
      <c r="C29" s="31" t="s">
        <v>3</v>
      </c>
      <c r="D29" s="32" t="s">
        <v>4</v>
      </c>
      <c r="E29" s="33" t="s">
        <v>59</v>
      </c>
      <c r="F29" s="31" t="s">
        <v>3</v>
      </c>
      <c r="G29" s="32" t="s">
        <v>4</v>
      </c>
      <c r="H29" s="33" t="s">
        <v>59</v>
      </c>
      <c r="I29" s="31" t="s">
        <v>3</v>
      </c>
      <c r="J29" s="32" t="s">
        <v>4</v>
      </c>
      <c r="K29" s="33" t="s">
        <v>59</v>
      </c>
      <c r="L29" s="31" t="s">
        <v>3</v>
      </c>
      <c r="M29" s="32" t="s">
        <v>4</v>
      </c>
      <c r="N29" s="33" t="s">
        <v>59</v>
      </c>
    </row>
    <row r="30" spans="2:66">
      <c r="B30" s="34" t="s">
        <v>81</v>
      </c>
      <c r="C30" s="35">
        <v>49.02</v>
      </c>
      <c r="D30" s="28">
        <v>71.16</v>
      </c>
      <c r="E30" s="36">
        <v>22.73</v>
      </c>
      <c r="F30" s="35">
        <v>49.03</v>
      </c>
      <c r="G30" s="28">
        <v>71.180000000000007</v>
      </c>
      <c r="H30" s="36">
        <v>22.75</v>
      </c>
      <c r="I30" s="35">
        <v>49.06</v>
      </c>
      <c r="J30" s="28">
        <v>71.2</v>
      </c>
      <c r="K30" s="36">
        <v>22.79</v>
      </c>
      <c r="L30" s="35">
        <v>49.04</v>
      </c>
      <c r="M30" s="28">
        <v>71.180000000000007</v>
      </c>
      <c r="N30" s="36">
        <v>22.75</v>
      </c>
    </row>
    <row r="31" spans="2:66">
      <c r="B31" s="34" t="s">
        <v>19</v>
      </c>
      <c r="C31" s="35">
        <v>32.020000000000003</v>
      </c>
      <c r="D31" s="28">
        <v>48.83</v>
      </c>
      <c r="E31" s="36">
        <v>18.3</v>
      </c>
      <c r="F31" s="35">
        <v>35.18</v>
      </c>
      <c r="G31" s="28">
        <v>52.91</v>
      </c>
      <c r="H31" s="36">
        <v>20.54</v>
      </c>
      <c r="I31" s="35">
        <v>38.369999999999997</v>
      </c>
      <c r="J31" s="28">
        <v>56.82</v>
      </c>
      <c r="K31" s="36">
        <v>22.040000000000003</v>
      </c>
      <c r="L31" s="35">
        <v>37.06</v>
      </c>
      <c r="M31" s="28">
        <v>55.73</v>
      </c>
      <c r="N31" s="36">
        <v>19.93</v>
      </c>
    </row>
    <row r="32" spans="2:66">
      <c r="B32" s="34" t="s">
        <v>37</v>
      </c>
      <c r="C32" s="35">
        <v>23.94</v>
      </c>
      <c r="D32" s="28">
        <v>36.880000000000003</v>
      </c>
      <c r="E32" s="36">
        <v>10.25</v>
      </c>
      <c r="F32" s="35">
        <v>28.77</v>
      </c>
      <c r="G32" s="28">
        <v>43.89</v>
      </c>
      <c r="H32" s="36">
        <v>12.5</v>
      </c>
      <c r="I32" s="35">
        <v>39.369999999999997</v>
      </c>
      <c r="J32" s="28">
        <v>58.07</v>
      </c>
      <c r="K32" s="36">
        <v>18</v>
      </c>
      <c r="L32" s="35">
        <v>29.59</v>
      </c>
      <c r="M32" s="28">
        <v>45.52</v>
      </c>
      <c r="N32" s="36">
        <v>13.04</v>
      </c>
    </row>
    <row r="33" spans="2:14">
      <c r="B33" s="34" t="s">
        <v>20</v>
      </c>
      <c r="C33" s="35">
        <v>20.420000000000002</v>
      </c>
      <c r="D33" s="28">
        <v>33.21</v>
      </c>
      <c r="E33" s="36">
        <v>8.7900000000000009</v>
      </c>
      <c r="F33" s="35">
        <v>23.18</v>
      </c>
      <c r="G33" s="28">
        <v>37.54</v>
      </c>
      <c r="H33" s="36">
        <v>9.8000000000000007</v>
      </c>
      <c r="I33" s="35">
        <v>28.73</v>
      </c>
      <c r="J33" s="28">
        <v>45.63</v>
      </c>
      <c r="K33" s="36">
        <v>12.23</v>
      </c>
      <c r="L33" s="35">
        <v>23.54</v>
      </c>
      <c r="M33" s="28">
        <v>38.200000000000003</v>
      </c>
      <c r="N33" s="36">
        <v>9.9599999999999991</v>
      </c>
    </row>
    <row r="34" spans="2:14">
      <c r="B34" s="34" t="s">
        <v>0</v>
      </c>
      <c r="C34" s="35">
        <v>20.329999999999998</v>
      </c>
      <c r="D34" s="28">
        <v>32.729999999999997</v>
      </c>
      <c r="E34" s="36">
        <v>8.68</v>
      </c>
      <c r="F34" s="35">
        <v>21.66</v>
      </c>
      <c r="G34" s="28">
        <v>35.35</v>
      </c>
      <c r="H34" s="36">
        <v>9.16</v>
      </c>
      <c r="I34" s="35">
        <v>24.16</v>
      </c>
      <c r="J34" s="28">
        <v>39.479999999999997</v>
      </c>
      <c r="K34" s="36">
        <v>10.26</v>
      </c>
      <c r="L34" s="35">
        <v>21.71</v>
      </c>
      <c r="M34" s="28">
        <v>35.409999999999997</v>
      </c>
      <c r="N34" s="36">
        <v>9.25</v>
      </c>
    </row>
    <row r="35" spans="2:14">
      <c r="B35" s="34" t="s">
        <v>41</v>
      </c>
      <c r="C35" s="35">
        <v>20.28</v>
      </c>
      <c r="D35" s="28">
        <v>31.31</v>
      </c>
      <c r="E35" s="36">
        <v>9.07</v>
      </c>
      <c r="F35" s="35">
        <v>22.1</v>
      </c>
      <c r="G35" s="28">
        <v>34.19</v>
      </c>
      <c r="H35" s="36">
        <v>10.08</v>
      </c>
      <c r="I35" s="35">
        <v>25.15</v>
      </c>
      <c r="J35" s="28">
        <v>38.520000000000003</v>
      </c>
      <c r="K35" s="36">
        <v>11.87</v>
      </c>
      <c r="L35" s="35">
        <v>22.07</v>
      </c>
      <c r="M35" s="28">
        <v>34.21</v>
      </c>
      <c r="N35" s="36">
        <v>10.119999999999999</v>
      </c>
    </row>
    <row r="36" spans="2:14">
      <c r="B36" s="34" t="s">
        <v>23</v>
      </c>
      <c r="C36" s="35">
        <v>19.739999999999998</v>
      </c>
      <c r="D36" s="28">
        <v>32.32</v>
      </c>
      <c r="E36" s="36">
        <v>8.27</v>
      </c>
      <c r="F36" s="35">
        <v>22.07</v>
      </c>
      <c r="G36" s="28">
        <v>36.159999999999997</v>
      </c>
      <c r="H36" s="36">
        <v>9.1999999999999993</v>
      </c>
      <c r="I36" s="35">
        <v>26.2</v>
      </c>
      <c r="J36" s="28">
        <v>42.32</v>
      </c>
      <c r="K36" s="36">
        <v>11</v>
      </c>
      <c r="L36" s="35">
        <v>22.23</v>
      </c>
      <c r="M36" s="28">
        <v>36.46</v>
      </c>
      <c r="N36" s="36">
        <v>9.1999999999999993</v>
      </c>
    </row>
    <row r="37" spans="2:14">
      <c r="B37" s="34" t="s">
        <v>1</v>
      </c>
      <c r="C37" s="35">
        <v>19.45</v>
      </c>
      <c r="D37" s="28">
        <v>31.39</v>
      </c>
      <c r="E37" s="36">
        <v>8.2900000000000009</v>
      </c>
      <c r="F37" s="35">
        <v>21.18</v>
      </c>
      <c r="G37" s="28">
        <v>34.42</v>
      </c>
      <c r="H37" s="36">
        <v>9.01</v>
      </c>
      <c r="I37" s="35">
        <v>24.14</v>
      </c>
      <c r="J37" s="28">
        <v>38.840000000000003</v>
      </c>
      <c r="K37" s="36">
        <v>10.42</v>
      </c>
      <c r="L37" s="35">
        <v>21.2</v>
      </c>
      <c r="M37" s="28">
        <v>34.43</v>
      </c>
      <c r="N37" s="36">
        <v>9.06</v>
      </c>
    </row>
    <row r="38" spans="2:14">
      <c r="B38" s="34" t="s">
        <v>42</v>
      </c>
      <c r="C38" s="35">
        <v>19.72</v>
      </c>
      <c r="D38" s="28">
        <v>31.83</v>
      </c>
      <c r="E38" s="36">
        <v>8.82</v>
      </c>
      <c r="F38" s="35">
        <v>27.42</v>
      </c>
      <c r="G38" s="28">
        <v>41.87</v>
      </c>
      <c r="H38" s="36">
        <v>11.87</v>
      </c>
      <c r="I38" s="35">
        <v>24.49</v>
      </c>
      <c r="J38" s="28">
        <v>39.03</v>
      </c>
      <c r="K38" s="36">
        <v>10.91</v>
      </c>
      <c r="L38" s="35">
        <v>21.55</v>
      </c>
      <c r="M38" s="28">
        <v>34.65</v>
      </c>
      <c r="N38" s="36">
        <v>9.59</v>
      </c>
    </row>
    <row r="39" spans="2:14">
      <c r="B39" s="34" t="s">
        <v>21</v>
      </c>
      <c r="C39" s="35">
        <v>18.690000000000001</v>
      </c>
      <c r="D39" s="28">
        <v>30.69</v>
      </c>
      <c r="E39" s="36">
        <v>8.02</v>
      </c>
      <c r="F39" s="35">
        <v>20.260000000000002</v>
      </c>
      <c r="G39" s="28">
        <v>33.369999999999997</v>
      </c>
      <c r="H39" s="36">
        <v>8.5599999999999987</v>
      </c>
      <c r="I39" s="35">
        <v>22.79</v>
      </c>
      <c r="J39" s="28">
        <v>37.11</v>
      </c>
      <c r="K39" s="36">
        <v>9.73</v>
      </c>
      <c r="L39" s="35">
        <v>20.25</v>
      </c>
      <c r="M39" s="28">
        <v>33.32</v>
      </c>
      <c r="N39" s="36">
        <v>8.6300000000000008</v>
      </c>
    </row>
    <row r="40" spans="2:14">
      <c r="B40" s="34" t="s">
        <v>22</v>
      </c>
      <c r="C40" s="35">
        <v>19.309999999999999</v>
      </c>
      <c r="D40" s="28">
        <v>31.68</v>
      </c>
      <c r="E40" s="36">
        <v>8.18</v>
      </c>
      <c r="F40" s="35">
        <v>20.7</v>
      </c>
      <c r="G40" s="28">
        <v>34.520000000000003</v>
      </c>
      <c r="H40" s="36">
        <v>8.66</v>
      </c>
      <c r="I40" s="35">
        <v>22.74</v>
      </c>
      <c r="J40" s="28">
        <v>37.94</v>
      </c>
      <c r="K40" s="36">
        <v>9.7100000000000009</v>
      </c>
      <c r="L40" s="35">
        <v>20.64</v>
      </c>
      <c r="M40" s="28">
        <v>34.39</v>
      </c>
      <c r="N40" s="36">
        <v>8.74</v>
      </c>
    </row>
    <row r="41" spans="2:14">
      <c r="B41" s="34" t="s">
        <v>2</v>
      </c>
      <c r="C41" s="35">
        <v>19.25</v>
      </c>
      <c r="D41" s="28">
        <v>31.2</v>
      </c>
      <c r="E41" s="36">
        <v>8.2100000000000009</v>
      </c>
      <c r="F41" s="35">
        <v>20.329999999999998</v>
      </c>
      <c r="G41" s="28">
        <v>33.299999999999997</v>
      </c>
      <c r="H41" s="36">
        <v>8.6300000000000008</v>
      </c>
      <c r="I41" s="35">
        <v>22.25</v>
      </c>
      <c r="J41" s="28">
        <v>36.4</v>
      </c>
      <c r="K41" s="36">
        <v>9.48</v>
      </c>
      <c r="L41" s="35">
        <v>20.43</v>
      </c>
      <c r="M41" s="28">
        <v>33.299999999999997</v>
      </c>
      <c r="N41" s="36">
        <v>8.6900000000000013</v>
      </c>
    </row>
    <row r="42" spans="2:14">
      <c r="B42" s="34" t="s">
        <v>24</v>
      </c>
      <c r="C42" s="35">
        <v>19.23</v>
      </c>
      <c r="D42" s="28">
        <v>31.15</v>
      </c>
      <c r="E42" s="36">
        <v>8.5500000000000007</v>
      </c>
      <c r="F42" s="35">
        <v>20.83</v>
      </c>
      <c r="G42" s="28">
        <v>33.93</v>
      </c>
      <c r="H42" s="36">
        <v>9.3000000000000007</v>
      </c>
      <c r="I42" s="35">
        <v>23.6</v>
      </c>
      <c r="J42" s="28">
        <v>38.1</v>
      </c>
      <c r="K42" s="36">
        <v>10.100000000000001</v>
      </c>
      <c r="L42" s="35">
        <v>20.94</v>
      </c>
      <c r="M42" s="28">
        <v>34.03</v>
      </c>
      <c r="N42" s="36">
        <v>9.1</v>
      </c>
    </row>
    <row r="43" spans="2:14">
      <c r="B43" s="34" t="s">
        <v>25</v>
      </c>
      <c r="C43" s="35">
        <v>19.149999999999999</v>
      </c>
      <c r="D43" s="28">
        <v>31.7</v>
      </c>
      <c r="E43" s="36">
        <v>8.2600000000000016</v>
      </c>
      <c r="F43" s="35">
        <v>20.63</v>
      </c>
      <c r="G43" s="28">
        <v>35.1</v>
      </c>
      <c r="H43" s="36">
        <v>8.84</v>
      </c>
      <c r="I43" s="35">
        <v>22.6</v>
      </c>
      <c r="J43" s="28">
        <v>38.65</v>
      </c>
      <c r="K43" s="36">
        <v>9.6</v>
      </c>
      <c r="L43" s="35">
        <v>20.52</v>
      </c>
      <c r="M43" s="28">
        <v>34.85</v>
      </c>
      <c r="N43" s="36">
        <v>8.77</v>
      </c>
    </row>
    <row r="44" spans="2:14">
      <c r="B44" s="34" t="s">
        <v>26</v>
      </c>
      <c r="C44" s="35">
        <v>18.309999999999999</v>
      </c>
      <c r="D44" s="28">
        <v>30.39</v>
      </c>
      <c r="E44" s="36">
        <v>7.7200000000000006</v>
      </c>
      <c r="F44" s="35">
        <v>19.59</v>
      </c>
      <c r="G44" s="28">
        <v>32.9</v>
      </c>
      <c r="H44" s="36">
        <v>8.3000000000000007</v>
      </c>
      <c r="I44" s="35">
        <v>21.52</v>
      </c>
      <c r="J44" s="28">
        <v>36.29</v>
      </c>
      <c r="K44" s="36">
        <v>9.15</v>
      </c>
      <c r="L44" s="35">
        <v>19.54</v>
      </c>
      <c r="M44" s="28">
        <v>32.85</v>
      </c>
      <c r="N44" s="36">
        <v>8.25</v>
      </c>
    </row>
    <row r="45" spans="2:14">
      <c r="B45" s="34" t="s">
        <v>43</v>
      </c>
      <c r="C45" s="35">
        <v>19.66</v>
      </c>
      <c r="D45" s="28">
        <v>31.81</v>
      </c>
      <c r="E45" s="36">
        <v>8.36</v>
      </c>
      <c r="F45" s="35">
        <v>21.44</v>
      </c>
      <c r="G45" s="28">
        <v>34.700000000000003</v>
      </c>
      <c r="H45" s="36">
        <v>9.07</v>
      </c>
      <c r="I45" s="35">
        <v>24.34</v>
      </c>
      <c r="J45" s="28">
        <v>38.880000000000003</v>
      </c>
      <c r="K45" s="36">
        <v>10.43</v>
      </c>
      <c r="L45" s="35">
        <v>21.5</v>
      </c>
      <c r="M45" s="28">
        <v>34.64</v>
      </c>
      <c r="N45" s="36">
        <v>9.15</v>
      </c>
    </row>
    <row r="46" spans="2:14">
      <c r="B46" s="34" t="s">
        <v>44</v>
      </c>
      <c r="C46" s="35">
        <v>18.23</v>
      </c>
      <c r="D46" s="28">
        <v>30.95</v>
      </c>
      <c r="E46" s="36">
        <v>7.61</v>
      </c>
      <c r="F46" s="35">
        <v>19.48</v>
      </c>
      <c r="G46" s="28">
        <v>33.32</v>
      </c>
      <c r="H46" s="36">
        <v>8.16</v>
      </c>
      <c r="I46" s="35">
        <v>21.45</v>
      </c>
      <c r="J46" s="28">
        <v>36.549999999999997</v>
      </c>
      <c r="K46" s="36">
        <v>9.07</v>
      </c>
      <c r="L46" s="35">
        <v>19.600000000000001</v>
      </c>
      <c r="M46" s="28">
        <v>33.29</v>
      </c>
      <c r="N46" s="36">
        <v>8.2100000000000009</v>
      </c>
    </row>
    <row r="47" spans="2:14">
      <c r="B47" s="34" t="s">
        <v>45</v>
      </c>
      <c r="C47" s="35">
        <v>17.989999999999998</v>
      </c>
      <c r="D47" s="28">
        <v>30</v>
      </c>
      <c r="E47" s="36">
        <v>7.6</v>
      </c>
      <c r="F47" s="35">
        <v>19.52</v>
      </c>
      <c r="G47" s="28">
        <v>32.65</v>
      </c>
      <c r="H47" s="36">
        <v>8.15</v>
      </c>
      <c r="I47" s="35">
        <v>21.86</v>
      </c>
      <c r="J47" s="28">
        <v>36.200000000000003</v>
      </c>
      <c r="K47" s="36">
        <v>9.2100000000000009</v>
      </c>
      <c r="L47" s="35">
        <v>19.46</v>
      </c>
      <c r="M47" s="28">
        <v>32.53</v>
      </c>
      <c r="N47" s="36">
        <v>8.15</v>
      </c>
    </row>
    <row r="48" spans="2:14" ht="14.35" thickBot="1">
      <c r="B48" s="34" t="s">
        <v>86</v>
      </c>
      <c r="C48" s="35">
        <v>11.770830999999999</v>
      </c>
      <c r="D48" s="28">
        <v>19.895852999999999</v>
      </c>
      <c r="E48" s="36">
        <v>5.9901749999999998</v>
      </c>
      <c r="F48" s="35">
        <v>15.757262000000001</v>
      </c>
      <c r="G48" s="28">
        <v>26.012108000000001</v>
      </c>
      <c r="H48" s="36">
        <v>7.4008630000000002</v>
      </c>
      <c r="I48" s="35">
        <v>23.726500999999999</v>
      </c>
      <c r="J48" s="28">
        <v>36.472565000000003</v>
      </c>
      <c r="K48" s="36">
        <v>10.341199</v>
      </c>
      <c r="L48" s="35">
        <f>(C48+F48+I48)/3</f>
        <v>17.084864666666665</v>
      </c>
      <c r="M48" s="28">
        <f t="shared" ref="M48" si="5">(D48+G48+J48)/3</f>
        <v>27.460175333333336</v>
      </c>
      <c r="N48" s="36">
        <f t="shared" ref="N48" si="6">(E48+H48+K48)/3</f>
        <v>7.9107456666666662</v>
      </c>
    </row>
    <row r="49" spans="2:14" ht="14.35" thickBot="1">
      <c r="B49" s="45" t="s">
        <v>87</v>
      </c>
      <c r="C49" s="48">
        <f>1-C48/MIN(C30:C47)</f>
        <v>0.34570144524735957</v>
      </c>
      <c r="D49" s="46">
        <f t="shared" ref="D49" si="7">1-D48/MIN(D30:D47)</f>
        <v>0.33680490000000007</v>
      </c>
      <c r="E49" s="47">
        <f t="shared" ref="E49" si="8">1-E48/MIN(E30:E47)</f>
        <v>0.2118190789473684</v>
      </c>
      <c r="F49" s="48">
        <f t="shared" ref="F49" si="9">1-F48/MIN(F30:F47)</f>
        <v>0.1911056468172484</v>
      </c>
      <c r="G49" s="46">
        <f t="shared" ref="G49" si="10">1-G48/MIN(G30:G47)</f>
        <v>0.20330450229709029</v>
      </c>
      <c r="H49" s="47">
        <f t="shared" ref="H49" si="11">1-H48/MIN(H30:H47)</f>
        <v>9.1918650306748506E-2</v>
      </c>
      <c r="I49" s="50">
        <f t="shared" ref="I49" si="12">1-I48/MIN(I30:I47)</f>
        <v>-0.10613058275058274</v>
      </c>
      <c r="J49" s="51">
        <f t="shared" ref="J49" si="13">1-J48/MIN(J30:J47)</f>
        <v>-7.5294198895028419E-3</v>
      </c>
      <c r="K49" s="49">
        <f t="shared" ref="K49" si="14">1-K48/MIN(K30:K47)</f>
        <v>-0.14015424476295468</v>
      </c>
      <c r="L49" s="48">
        <f t="shared" ref="L49" si="15">1-L48/MIN(L30:L47)</f>
        <v>0.12205217540253521</v>
      </c>
      <c r="M49" s="46">
        <f t="shared" ref="M49" si="16">1-M48/MIN(M30:M47)</f>
        <v>0.15585074290398604</v>
      </c>
      <c r="N49" s="47">
        <f t="shared" ref="N49" si="17">1-N48/MIN(N30:N47)</f>
        <v>2.9356359918200514E-2</v>
      </c>
    </row>
    <row r="50" spans="2:14" ht="14.35" thickBot="1"/>
    <row r="51" spans="2:14" ht="14.35" thickBot="1">
      <c r="B51" s="30"/>
      <c r="C51" s="70" t="s">
        <v>62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2"/>
    </row>
    <row r="52" spans="2:14" ht="14.35" thickBot="1">
      <c r="B52" s="34" t="s">
        <v>35</v>
      </c>
      <c r="C52" s="73" t="s">
        <v>28</v>
      </c>
      <c r="D52" s="74"/>
      <c r="E52" s="75"/>
      <c r="F52" s="73" t="s">
        <v>29</v>
      </c>
      <c r="G52" s="74"/>
      <c r="H52" s="75"/>
      <c r="I52" s="73" t="s">
        <v>30</v>
      </c>
      <c r="J52" s="74"/>
      <c r="K52" s="75"/>
      <c r="L52" s="73" t="s">
        <v>32</v>
      </c>
      <c r="M52" s="74"/>
      <c r="N52" s="75"/>
    </row>
    <row r="53" spans="2:14">
      <c r="B53" s="34" t="s">
        <v>34</v>
      </c>
      <c r="C53" s="31" t="s">
        <v>3</v>
      </c>
      <c r="D53" s="32" t="s">
        <v>4</v>
      </c>
      <c r="E53" s="33" t="s">
        <v>59</v>
      </c>
      <c r="F53" s="31" t="s">
        <v>3</v>
      </c>
      <c r="G53" s="32" t="s">
        <v>4</v>
      </c>
      <c r="H53" s="33" t="s">
        <v>59</v>
      </c>
      <c r="I53" s="31" t="s">
        <v>3</v>
      </c>
      <c r="J53" s="32" t="s">
        <v>4</v>
      </c>
      <c r="K53" s="33" t="s">
        <v>59</v>
      </c>
      <c r="L53" s="31" t="s">
        <v>3</v>
      </c>
      <c r="M53" s="32" t="s">
        <v>4</v>
      </c>
      <c r="N53" s="33" t="s">
        <v>59</v>
      </c>
    </row>
    <row r="54" spans="2:14">
      <c r="B54" s="34" t="s">
        <v>81</v>
      </c>
      <c r="C54" s="35">
        <v>34.549999999999997</v>
      </c>
      <c r="D54" s="28">
        <v>50.41</v>
      </c>
      <c r="E54" s="36">
        <v>21.6</v>
      </c>
      <c r="F54" s="35">
        <v>34.57</v>
      </c>
      <c r="G54" s="28">
        <v>50.43</v>
      </c>
      <c r="H54" s="36">
        <v>21.63</v>
      </c>
      <c r="I54" s="35">
        <v>34.590000000000003</v>
      </c>
      <c r="J54" s="28">
        <v>50.44</v>
      </c>
      <c r="K54" s="36">
        <v>21.68</v>
      </c>
      <c r="L54" s="35">
        <v>34.57</v>
      </c>
      <c r="M54" s="28">
        <v>50.43</v>
      </c>
      <c r="N54" s="36">
        <v>21.63</v>
      </c>
    </row>
    <row r="55" spans="2:14">
      <c r="B55" s="34" t="s">
        <v>19</v>
      </c>
      <c r="C55" s="35">
        <v>19.52</v>
      </c>
      <c r="D55" s="28">
        <v>29.73</v>
      </c>
      <c r="E55" s="36">
        <v>12.540000000000001</v>
      </c>
      <c r="F55" s="35">
        <v>22.25</v>
      </c>
      <c r="G55" s="28">
        <v>33.299999999999997</v>
      </c>
      <c r="H55" s="36">
        <v>14.23</v>
      </c>
      <c r="I55" s="35">
        <v>26.17</v>
      </c>
      <c r="J55" s="28">
        <v>38.97</v>
      </c>
      <c r="K55" s="36">
        <v>17.32</v>
      </c>
      <c r="L55" s="35">
        <v>22.07</v>
      </c>
      <c r="M55" s="28">
        <v>31.02</v>
      </c>
      <c r="N55" s="36">
        <v>14.04</v>
      </c>
    </row>
    <row r="56" spans="2:14">
      <c r="B56" s="34" t="s">
        <v>20</v>
      </c>
      <c r="C56" s="35">
        <v>17.38</v>
      </c>
      <c r="D56" s="28">
        <v>26.27</v>
      </c>
      <c r="E56" s="36">
        <v>12.629999999999999</v>
      </c>
      <c r="F56" s="35">
        <v>21.22</v>
      </c>
      <c r="G56" s="28">
        <v>31.97</v>
      </c>
      <c r="H56" s="36">
        <v>17.32</v>
      </c>
      <c r="I56" s="35">
        <v>30.69</v>
      </c>
      <c r="J56" s="28">
        <v>43.96</v>
      </c>
      <c r="K56" s="36">
        <v>25.72</v>
      </c>
      <c r="L56" s="35">
        <v>21.31</v>
      </c>
      <c r="M56" s="28">
        <v>32.1</v>
      </c>
      <c r="N56" s="36">
        <v>17.47</v>
      </c>
    </row>
    <row r="57" spans="2:14">
      <c r="B57" s="34" t="s">
        <v>37</v>
      </c>
      <c r="C57" s="35">
        <v>16.36</v>
      </c>
      <c r="D57" s="28">
        <v>25.24</v>
      </c>
      <c r="E57" s="36">
        <v>10.01</v>
      </c>
      <c r="F57" s="35">
        <v>18.38</v>
      </c>
      <c r="G57" s="28">
        <v>28.34</v>
      </c>
      <c r="H57" s="36">
        <v>11.12</v>
      </c>
      <c r="I57" s="35">
        <v>22.6</v>
      </c>
      <c r="J57" s="28">
        <v>34.39</v>
      </c>
      <c r="K57" s="36">
        <v>13.57</v>
      </c>
      <c r="L57" s="35">
        <v>18.61</v>
      </c>
      <c r="M57" s="28">
        <v>28.82</v>
      </c>
      <c r="N57" s="36">
        <v>11.27</v>
      </c>
    </row>
    <row r="58" spans="2:14">
      <c r="B58" s="34" t="s">
        <v>41</v>
      </c>
      <c r="C58" s="35">
        <v>15.41</v>
      </c>
      <c r="D58" s="28">
        <v>22.98</v>
      </c>
      <c r="E58" s="36">
        <v>10.14</v>
      </c>
      <c r="F58" s="35">
        <v>16.829999999999998</v>
      </c>
      <c r="G58" s="28">
        <v>25.11</v>
      </c>
      <c r="H58" s="36">
        <v>11.77</v>
      </c>
      <c r="I58" s="35">
        <v>19.079999999999998</v>
      </c>
      <c r="J58" s="28">
        <v>28.19</v>
      </c>
      <c r="K58" s="36">
        <v>12.61</v>
      </c>
      <c r="L58" s="35">
        <v>16.79</v>
      </c>
      <c r="M58" s="28">
        <v>25.11</v>
      </c>
      <c r="N58" s="36">
        <v>11.41</v>
      </c>
    </row>
    <row r="59" spans="2:14">
      <c r="B59" s="34" t="s">
        <v>0</v>
      </c>
      <c r="C59" s="35">
        <v>14.95</v>
      </c>
      <c r="D59" s="28">
        <v>23.48</v>
      </c>
      <c r="E59" s="36">
        <v>9.8699999999999992</v>
      </c>
      <c r="F59" s="35">
        <v>15.92</v>
      </c>
      <c r="G59" s="28">
        <v>25.36</v>
      </c>
      <c r="H59" s="36">
        <v>10.42</v>
      </c>
      <c r="I59" s="35">
        <v>17.649999999999999</v>
      </c>
      <c r="J59" s="28">
        <v>28.03</v>
      </c>
      <c r="K59" s="36">
        <v>11.34</v>
      </c>
      <c r="L59" s="35">
        <v>15.98</v>
      </c>
      <c r="M59" s="28">
        <v>25.37</v>
      </c>
      <c r="N59" s="36">
        <v>10.43</v>
      </c>
    </row>
    <row r="60" spans="2:14">
      <c r="B60" s="34" t="s">
        <v>22</v>
      </c>
      <c r="C60" s="35">
        <v>14.51</v>
      </c>
      <c r="D60" s="28">
        <v>22.87</v>
      </c>
      <c r="E60" s="36">
        <v>9.34</v>
      </c>
      <c r="F60" s="35">
        <v>15.66</v>
      </c>
      <c r="G60" s="28">
        <v>25</v>
      </c>
      <c r="H60" s="36">
        <v>10.34</v>
      </c>
      <c r="I60" s="35">
        <v>17.489999999999998</v>
      </c>
      <c r="J60" s="28">
        <v>27.93</v>
      </c>
      <c r="K60" s="36">
        <v>11.72</v>
      </c>
      <c r="L60" s="35">
        <v>15.65</v>
      </c>
      <c r="M60" s="28">
        <v>24.99</v>
      </c>
      <c r="N60" s="36">
        <v>10.17</v>
      </c>
    </row>
    <row r="61" spans="2:14">
      <c r="B61" s="34" t="s">
        <v>23</v>
      </c>
      <c r="C61" s="35">
        <v>14.49</v>
      </c>
      <c r="D61" s="28">
        <v>23.02</v>
      </c>
      <c r="E61" s="36">
        <v>9.73</v>
      </c>
      <c r="F61" s="35">
        <v>15.84</v>
      </c>
      <c r="G61" s="28">
        <v>25.38</v>
      </c>
      <c r="H61" s="36">
        <v>10.780000000000001</v>
      </c>
      <c r="I61" s="35">
        <v>18.100000000000001</v>
      </c>
      <c r="J61" s="28">
        <v>28.77</v>
      </c>
      <c r="K61" s="36">
        <v>12.5</v>
      </c>
      <c r="L61" s="35">
        <v>15.91</v>
      </c>
      <c r="M61" s="28">
        <v>25.44</v>
      </c>
      <c r="N61" s="36">
        <v>10.9</v>
      </c>
    </row>
    <row r="62" spans="2:14">
      <c r="B62" s="34" t="s">
        <v>25</v>
      </c>
      <c r="C62" s="35">
        <v>14.44</v>
      </c>
      <c r="D62" s="28">
        <v>22.68</v>
      </c>
      <c r="E62" s="36">
        <v>9.32</v>
      </c>
      <c r="F62" s="35">
        <v>15.53</v>
      </c>
      <c r="G62" s="28">
        <v>25.07</v>
      </c>
      <c r="H62" s="36">
        <v>9.98</v>
      </c>
      <c r="I62" s="35">
        <v>17.2</v>
      </c>
      <c r="J62" s="28">
        <v>27.86</v>
      </c>
      <c r="K62" s="36">
        <v>11.3</v>
      </c>
      <c r="L62" s="35">
        <v>15.54</v>
      </c>
      <c r="M62" s="28">
        <v>25.01</v>
      </c>
      <c r="N62" s="36">
        <v>10.029999999999999</v>
      </c>
    </row>
    <row r="63" spans="2:14">
      <c r="B63" s="34" t="s">
        <v>42</v>
      </c>
      <c r="C63" s="35">
        <v>14.31</v>
      </c>
      <c r="D63" s="28">
        <v>22.45</v>
      </c>
      <c r="E63" s="36">
        <v>9.7100000000000009</v>
      </c>
      <c r="F63" s="35">
        <v>15.44</v>
      </c>
      <c r="G63" s="28">
        <v>24.42</v>
      </c>
      <c r="H63" s="36">
        <v>10.39</v>
      </c>
      <c r="I63" s="35">
        <v>17.420000000000002</v>
      </c>
      <c r="J63" s="28">
        <v>27.33</v>
      </c>
      <c r="K63" s="36">
        <v>11.61</v>
      </c>
      <c r="L63" s="35">
        <v>15.49</v>
      </c>
      <c r="M63" s="28">
        <v>24.36</v>
      </c>
      <c r="N63" s="36">
        <v>10.42</v>
      </c>
    </row>
    <row r="64" spans="2:14">
      <c r="B64" s="34" t="s">
        <v>24</v>
      </c>
      <c r="C64" s="35">
        <v>14.3</v>
      </c>
      <c r="D64" s="28">
        <v>22.55</v>
      </c>
      <c r="E64" s="36">
        <v>10.56</v>
      </c>
      <c r="F64" s="35">
        <v>15.25</v>
      </c>
      <c r="G64" s="28">
        <v>24.41</v>
      </c>
      <c r="H64" s="36">
        <v>10.54</v>
      </c>
      <c r="I64" s="35">
        <v>16.8</v>
      </c>
      <c r="J64" s="28">
        <v>26.96</v>
      </c>
      <c r="K64" s="36">
        <v>10.9</v>
      </c>
      <c r="L64" s="35">
        <v>15.31</v>
      </c>
      <c r="M64" s="28">
        <v>24.42</v>
      </c>
      <c r="N64" s="36">
        <v>10.7</v>
      </c>
    </row>
    <row r="65" spans="2:14">
      <c r="B65" s="34" t="s">
        <v>1</v>
      </c>
      <c r="C65" s="35">
        <v>14.16</v>
      </c>
      <c r="D65" s="28">
        <v>22.2</v>
      </c>
      <c r="E65" s="36">
        <v>9.31</v>
      </c>
      <c r="F65" s="35">
        <v>15.24</v>
      </c>
      <c r="G65" s="28">
        <v>24.26</v>
      </c>
      <c r="H65" s="36">
        <v>9.9</v>
      </c>
      <c r="I65" s="35">
        <v>17.7</v>
      </c>
      <c r="J65" s="28">
        <v>27.14</v>
      </c>
      <c r="K65" s="36">
        <v>11.129999999999999</v>
      </c>
      <c r="L65" s="35">
        <v>15.26</v>
      </c>
      <c r="M65" s="28">
        <v>24.28</v>
      </c>
      <c r="N65" s="36">
        <v>9.9599999999999991</v>
      </c>
    </row>
    <row r="66" spans="2:14">
      <c r="B66" s="34" t="s">
        <v>43</v>
      </c>
      <c r="C66" s="35">
        <v>13.92</v>
      </c>
      <c r="D66" s="28">
        <v>22.32</v>
      </c>
      <c r="E66" s="36">
        <v>9.02</v>
      </c>
      <c r="F66" s="35">
        <v>14.64</v>
      </c>
      <c r="G66" s="28">
        <v>23.75</v>
      </c>
      <c r="H66" s="36">
        <v>9.52</v>
      </c>
      <c r="I66" s="35">
        <v>16.14</v>
      </c>
      <c r="J66" s="28">
        <v>26.11</v>
      </c>
      <c r="K66" s="36">
        <v>10.59</v>
      </c>
      <c r="L66" s="35">
        <v>14.76</v>
      </c>
      <c r="M66" s="28">
        <v>23.8</v>
      </c>
      <c r="N66" s="36">
        <v>9.6199999999999992</v>
      </c>
    </row>
    <row r="67" spans="2:14">
      <c r="B67" s="34" t="s">
        <v>2</v>
      </c>
      <c r="C67" s="35">
        <v>13.8</v>
      </c>
      <c r="D67" s="28">
        <v>22.88</v>
      </c>
      <c r="E67" s="36">
        <v>9.41</v>
      </c>
      <c r="F67" s="35">
        <v>14.62</v>
      </c>
      <c r="G67" s="28">
        <v>24.12</v>
      </c>
      <c r="H67" s="36">
        <v>9.5699999999999985</v>
      </c>
      <c r="I67" s="35">
        <v>15.72</v>
      </c>
      <c r="J67" s="28">
        <v>26.47</v>
      </c>
      <c r="K67" s="36">
        <v>10.56</v>
      </c>
      <c r="L67" s="35">
        <v>14.81</v>
      </c>
      <c r="M67" s="28">
        <v>24.19</v>
      </c>
      <c r="N67" s="36">
        <v>9.69</v>
      </c>
    </row>
    <row r="68" spans="2:14">
      <c r="B68" s="34" t="s">
        <v>21</v>
      </c>
      <c r="C68" s="35">
        <v>13.72</v>
      </c>
      <c r="D68" s="28">
        <v>21.71</v>
      </c>
      <c r="E68" s="36">
        <v>8.7999999999999989</v>
      </c>
      <c r="F68" s="35">
        <v>14.67</v>
      </c>
      <c r="G68" s="28">
        <v>23.5</v>
      </c>
      <c r="H68" s="36">
        <v>9.49</v>
      </c>
      <c r="I68" s="35">
        <v>16.149999999999999</v>
      </c>
      <c r="J68" s="28">
        <v>25.95</v>
      </c>
      <c r="K68" s="36">
        <v>10.74</v>
      </c>
      <c r="L68" s="35">
        <v>14.67</v>
      </c>
      <c r="M68" s="28">
        <v>23.49</v>
      </c>
      <c r="N68" s="36">
        <v>9.5200000000000014</v>
      </c>
    </row>
    <row r="69" spans="2:14">
      <c r="B69" s="34" t="s">
        <v>26</v>
      </c>
      <c r="C69" s="35">
        <v>13.28</v>
      </c>
      <c r="D69" s="28">
        <v>21.66</v>
      </c>
      <c r="E69" s="36">
        <v>8.6199999999999992</v>
      </c>
      <c r="F69" s="35">
        <v>14.21</v>
      </c>
      <c r="G69" s="28">
        <v>23.57</v>
      </c>
      <c r="H69" s="36">
        <v>9.24</v>
      </c>
      <c r="I69" s="35">
        <v>15.58</v>
      </c>
      <c r="J69" s="28">
        <v>25.89</v>
      </c>
      <c r="K69" s="36">
        <v>10.33</v>
      </c>
      <c r="L69" s="35">
        <v>14.2</v>
      </c>
      <c r="M69" s="28">
        <v>23.49</v>
      </c>
      <c r="N69" s="36">
        <v>9.2799999999999994</v>
      </c>
    </row>
    <row r="70" spans="2:14">
      <c r="B70" s="34" t="s">
        <v>44</v>
      </c>
      <c r="C70" s="35">
        <v>12.77</v>
      </c>
      <c r="D70" s="28">
        <v>21.71</v>
      </c>
      <c r="E70" s="36">
        <v>8.5</v>
      </c>
      <c r="F70" s="35">
        <v>13.69</v>
      </c>
      <c r="G70" s="28">
        <v>23.47</v>
      </c>
      <c r="H70" s="36">
        <v>9.4</v>
      </c>
      <c r="I70" s="35">
        <v>14.98</v>
      </c>
      <c r="J70" s="28">
        <v>25.85</v>
      </c>
      <c r="K70" s="36">
        <v>10.44</v>
      </c>
      <c r="L70" s="35">
        <v>13.7</v>
      </c>
      <c r="M70" s="28">
        <v>23.47</v>
      </c>
      <c r="N70" s="36">
        <v>9.3000000000000007</v>
      </c>
    </row>
    <row r="71" spans="2:14">
      <c r="B71" s="34" t="s">
        <v>45</v>
      </c>
      <c r="C71" s="35">
        <v>12.41</v>
      </c>
      <c r="D71" s="28">
        <v>21.06</v>
      </c>
      <c r="E71" s="36">
        <v>8.09</v>
      </c>
      <c r="F71" s="35">
        <v>13.28</v>
      </c>
      <c r="G71" s="28">
        <v>22.83</v>
      </c>
      <c r="H71" s="36">
        <v>8.65</v>
      </c>
      <c r="I71" s="35">
        <v>14.48</v>
      </c>
      <c r="J71" s="28">
        <v>24.96</v>
      </c>
      <c r="K71" s="36">
        <v>9.44</v>
      </c>
      <c r="L71" s="35">
        <v>13.24</v>
      </c>
      <c r="M71" s="28">
        <v>22.67</v>
      </c>
      <c r="N71" s="36">
        <v>8.6300000000000008</v>
      </c>
    </row>
    <row r="72" spans="2:14" ht="14.35" thickBot="1">
      <c r="B72" s="34" t="s">
        <v>86</v>
      </c>
      <c r="C72" s="35">
        <v>9.9816520000000004</v>
      </c>
      <c r="D72" s="28">
        <v>15.900976999999999</v>
      </c>
      <c r="E72" s="36">
        <v>7.2706489999999997</v>
      </c>
      <c r="F72" s="35">
        <v>11.057342</v>
      </c>
      <c r="G72" s="28">
        <v>18.392821999999999</v>
      </c>
      <c r="H72" s="36">
        <v>7.30966</v>
      </c>
      <c r="I72" s="35">
        <v>16.354727</v>
      </c>
      <c r="J72" s="28">
        <v>26.042072999999998</v>
      </c>
      <c r="K72" s="36">
        <v>10.813651</v>
      </c>
      <c r="L72" s="35">
        <f>(C72+F72+I72)/3</f>
        <v>12.464573666666666</v>
      </c>
      <c r="M72" s="28">
        <f t="shared" ref="M72" si="18">(D72+G72+J72)/3</f>
        <v>20.111957333333333</v>
      </c>
      <c r="N72" s="36">
        <f t="shared" ref="N72" si="19">(E72+H72+K72)/3</f>
        <v>8.4646533333333327</v>
      </c>
    </row>
    <row r="73" spans="2:14" ht="14.35" thickBot="1">
      <c r="B73" s="45" t="s">
        <v>87</v>
      </c>
      <c r="C73" s="48">
        <f>1-C72/MIN(C54:C71)</f>
        <v>0.19567671232876704</v>
      </c>
      <c r="D73" s="46">
        <f t="shared" ref="D73" si="20">1-D72/MIN(D54:D71)</f>
        <v>0.24496785375118713</v>
      </c>
      <c r="E73" s="47">
        <f t="shared" ref="E73" si="21">1-E72/MIN(E54:E71)</f>
        <v>0.10127948084054395</v>
      </c>
      <c r="F73" s="48">
        <f t="shared" ref="F73" si="22">1-F72/MIN(F54:F71)</f>
        <v>0.16736882530120478</v>
      </c>
      <c r="G73" s="46">
        <f t="shared" ref="G73" si="23">1-G72/MIN(G54:G71)</f>
        <v>0.19435733683749457</v>
      </c>
      <c r="H73" s="47">
        <f t="shared" ref="H73" si="24">1-H72/MIN(H54:H71)</f>
        <v>0.15495260115606935</v>
      </c>
      <c r="I73" s="50">
        <f t="shared" ref="I73" si="25">1-I72/MIN(I54:I71)</f>
        <v>-0.1294700966850828</v>
      </c>
      <c r="J73" s="51">
        <f t="shared" ref="J73" si="26">1-J72/MIN(J54:J71)</f>
        <v>-4.3352283653846024E-2</v>
      </c>
      <c r="K73" s="49">
        <f t="shared" ref="K73" si="27">1-K72/MIN(K54:K71)</f>
        <v>-0.14551387711864416</v>
      </c>
      <c r="L73" s="48">
        <f t="shared" ref="L73" si="28">1-L72/MIN(L54:L71)</f>
        <v>5.8566943605236732E-2</v>
      </c>
      <c r="M73" s="46">
        <f t="shared" ref="M73" si="29">1-M72/MIN(M54:M71)</f>
        <v>0.1128382296721071</v>
      </c>
      <c r="N73" s="47">
        <f t="shared" ref="N73" si="30">1-N72/MIN(N54:N71)</f>
        <v>1.9159521050598816E-2</v>
      </c>
    </row>
    <row r="79" spans="2:14" ht="14.35" thickBot="1"/>
    <row r="80" spans="2:14" ht="14.35" thickBot="1">
      <c r="B80" s="45" t="s">
        <v>99</v>
      </c>
      <c r="C80" s="76" t="s">
        <v>28</v>
      </c>
      <c r="D80" s="77"/>
      <c r="E80" s="78"/>
      <c r="F80" s="76" t="s">
        <v>29</v>
      </c>
      <c r="G80" s="77"/>
      <c r="H80" s="78"/>
      <c r="I80" s="76" t="s">
        <v>30</v>
      </c>
      <c r="J80" s="77"/>
      <c r="K80" s="78"/>
      <c r="L80" s="76" t="s">
        <v>32</v>
      </c>
      <c r="M80" s="77"/>
      <c r="N80" s="78"/>
    </row>
    <row r="81" spans="2:14" ht="14.35" thickBot="1">
      <c r="B81" s="45" t="s">
        <v>101</v>
      </c>
      <c r="C81" s="62" t="s">
        <v>3</v>
      </c>
      <c r="D81" s="63" t="s">
        <v>4</v>
      </c>
      <c r="E81" s="64" t="s">
        <v>59</v>
      </c>
      <c r="F81" s="62" t="s">
        <v>3</v>
      </c>
      <c r="G81" s="63" t="s">
        <v>4</v>
      </c>
      <c r="H81" s="64" t="s">
        <v>59</v>
      </c>
      <c r="I81" s="62" t="s">
        <v>3</v>
      </c>
      <c r="J81" s="63" t="s">
        <v>4</v>
      </c>
      <c r="K81" s="64" t="s">
        <v>59</v>
      </c>
      <c r="L81" s="62" t="s">
        <v>3</v>
      </c>
      <c r="M81" s="63" t="s">
        <v>4</v>
      </c>
      <c r="N81" s="64" t="s">
        <v>59</v>
      </c>
    </row>
    <row r="82" spans="2:14" ht="14.35" thickBot="1">
      <c r="B82" s="45" t="s">
        <v>31</v>
      </c>
      <c r="C82" s="48">
        <f>C24</f>
        <v>0.3520111304347826</v>
      </c>
      <c r="D82" s="46">
        <f t="shared" ref="D82:N82" si="31">D24</f>
        <v>0.32170723314606742</v>
      </c>
      <c r="E82" s="47">
        <f t="shared" si="31"/>
        <v>0.16033583916083916</v>
      </c>
      <c r="F82" s="48">
        <f t="shared" si="31"/>
        <v>0.16757284841754583</v>
      </c>
      <c r="G82" s="46">
        <f t="shared" si="31"/>
        <v>0.16802042938611206</v>
      </c>
      <c r="H82" s="49">
        <f t="shared" si="31"/>
        <v>-3.4441211101766234E-2</v>
      </c>
      <c r="I82" s="50">
        <f t="shared" si="31"/>
        <v>-8.7608125000000037E-2</v>
      </c>
      <c r="J82" s="51">
        <f t="shared" si="31"/>
        <v>-5.6836398467432936E-2</v>
      </c>
      <c r="K82" s="49">
        <f t="shared" si="31"/>
        <v>-0.29232303459119491</v>
      </c>
      <c r="L82" s="48">
        <f t="shared" si="31"/>
        <v>0.12818423198073003</v>
      </c>
      <c r="M82" s="46">
        <f t="shared" si="31"/>
        <v>0.13450790181573635</v>
      </c>
      <c r="N82" s="49">
        <f t="shared" si="31"/>
        <v>-7.4050784313725693E-2</v>
      </c>
    </row>
    <row r="83" spans="2:14" ht="14.35" thickBot="1">
      <c r="B83" s="45" t="s">
        <v>79</v>
      </c>
      <c r="C83" s="48" cm="1">
        <f t="array" ref="C83:N83">C49:N49</f>
        <v>0.34570144524735957</v>
      </c>
      <c r="D83" s="46">
        <v>0.33680490000000007</v>
      </c>
      <c r="E83" s="47">
        <v>0.2118190789473684</v>
      </c>
      <c r="F83" s="48">
        <v>0.1911056468172484</v>
      </c>
      <c r="G83" s="46">
        <v>0.20330450229709029</v>
      </c>
      <c r="H83" s="47">
        <v>9.1918650306748506E-2</v>
      </c>
      <c r="I83" s="50">
        <v>-0.10613058275058274</v>
      </c>
      <c r="J83" s="51">
        <v>-7.5294198895028419E-3</v>
      </c>
      <c r="K83" s="49">
        <v>-0.14015424476295468</v>
      </c>
      <c r="L83" s="48">
        <v>0.12205217540253521</v>
      </c>
      <c r="M83" s="46">
        <v>0.15585074290398604</v>
      </c>
      <c r="N83" s="47">
        <v>2.9356359918200514E-2</v>
      </c>
    </row>
    <row r="84" spans="2:14" ht="14.35" thickBot="1">
      <c r="B84" s="45" t="s">
        <v>62</v>
      </c>
      <c r="C84" s="48">
        <f>C73</f>
        <v>0.19567671232876704</v>
      </c>
      <c r="D84" s="46">
        <f t="shared" ref="D84:N84" si="32">D73</f>
        <v>0.24496785375118713</v>
      </c>
      <c r="E84" s="47">
        <f t="shared" si="32"/>
        <v>0.10127948084054395</v>
      </c>
      <c r="F84" s="48">
        <f t="shared" si="32"/>
        <v>0.16736882530120478</v>
      </c>
      <c r="G84" s="46">
        <f t="shared" si="32"/>
        <v>0.19435733683749457</v>
      </c>
      <c r="H84" s="47">
        <f t="shared" si="32"/>
        <v>0.15495260115606935</v>
      </c>
      <c r="I84" s="50">
        <f t="shared" si="32"/>
        <v>-0.1294700966850828</v>
      </c>
      <c r="J84" s="51">
        <f t="shared" si="32"/>
        <v>-4.3352283653846024E-2</v>
      </c>
      <c r="K84" s="49">
        <f t="shared" si="32"/>
        <v>-0.14551387711864416</v>
      </c>
      <c r="L84" s="48">
        <f t="shared" si="32"/>
        <v>5.8566943605236732E-2</v>
      </c>
      <c r="M84" s="46">
        <f t="shared" si="32"/>
        <v>0.1128382296721071</v>
      </c>
      <c r="N84" s="47">
        <f t="shared" si="32"/>
        <v>1.9159521050598816E-2</v>
      </c>
    </row>
  </sheetData>
  <mergeCells count="29">
    <mergeCell ref="C80:E80"/>
    <mergeCell ref="F80:H80"/>
    <mergeCell ref="I80:K80"/>
    <mergeCell ref="L80:N80"/>
    <mergeCell ref="C52:E52"/>
    <mergeCell ref="F52:H52"/>
    <mergeCell ref="I52:K52"/>
    <mergeCell ref="L52:N52"/>
    <mergeCell ref="BC2:BN2"/>
    <mergeCell ref="BC3:BE3"/>
    <mergeCell ref="BF3:BH3"/>
    <mergeCell ref="BI3:BK3"/>
    <mergeCell ref="BL3:BN3"/>
    <mergeCell ref="C51:N51"/>
    <mergeCell ref="AP2:BA2"/>
    <mergeCell ref="C3:E3"/>
    <mergeCell ref="F3:H3"/>
    <mergeCell ref="I3:K3"/>
    <mergeCell ref="C28:E28"/>
    <mergeCell ref="F28:H28"/>
    <mergeCell ref="AP3:AR3"/>
    <mergeCell ref="AS3:AU3"/>
    <mergeCell ref="AY3:BA3"/>
    <mergeCell ref="AV3:AX3"/>
    <mergeCell ref="I28:K28"/>
    <mergeCell ref="L28:N28"/>
    <mergeCell ref="L3:N3"/>
    <mergeCell ref="C2:N2"/>
    <mergeCell ref="C27:N2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B9F9-B2B3-4AF2-A7F7-AA39707B8A32}">
  <dimension ref="B1:N65"/>
  <sheetViews>
    <sheetView showGridLines="0" topLeftCell="A49" workbookViewId="0">
      <selection activeCell="Q14" sqref="Q14"/>
    </sheetView>
  </sheetViews>
  <sheetFormatPr defaultRowHeight="14"/>
  <cols>
    <col min="2" max="2" width="13.52734375" customWidth="1"/>
  </cols>
  <sheetData>
    <row r="1" spans="2:14" ht="14.35" thickBot="1"/>
    <row r="2" spans="2:14" ht="14.35" thickBot="1">
      <c r="B2" s="30"/>
      <c r="C2" s="70" t="s">
        <v>31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</row>
    <row r="3" spans="2:14" ht="14.35" thickBot="1">
      <c r="B3" s="34" t="s">
        <v>35</v>
      </c>
      <c r="C3" s="73" t="s">
        <v>28</v>
      </c>
      <c r="D3" s="74"/>
      <c r="E3" s="75"/>
      <c r="F3" s="73" t="s">
        <v>29</v>
      </c>
      <c r="G3" s="74"/>
      <c r="H3" s="75"/>
      <c r="I3" s="73" t="s">
        <v>30</v>
      </c>
      <c r="J3" s="74"/>
      <c r="K3" s="75"/>
      <c r="L3" s="73" t="s">
        <v>32</v>
      </c>
      <c r="M3" s="74"/>
      <c r="N3" s="75"/>
    </row>
    <row r="4" spans="2:14">
      <c r="B4" s="34" t="s">
        <v>34</v>
      </c>
      <c r="C4" s="31" t="s">
        <v>3</v>
      </c>
      <c r="D4" s="32" t="s">
        <v>4</v>
      </c>
      <c r="E4" s="33" t="s">
        <v>59</v>
      </c>
      <c r="F4" s="31" t="s">
        <v>3</v>
      </c>
      <c r="G4" s="32" t="s">
        <v>4</v>
      </c>
      <c r="H4" s="33" t="s">
        <v>59</v>
      </c>
      <c r="I4" s="31" t="s">
        <v>3</v>
      </c>
      <c r="J4" s="32" t="s">
        <v>4</v>
      </c>
      <c r="K4" s="33" t="s">
        <v>59</v>
      </c>
      <c r="L4" s="31" t="s">
        <v>3</v>
      </c>
      <c r="M4" s="32" t="s">
        <v>4</v>
      </c>
      <c r="N4" s="33" t="s">
        <v>59</v>
      </c>
    </row>
    <row r="5" spans="2:14">
      <c r="B5" s="34" t="s">
        <v>81</v>
      </c>
      <c r="C5" s="35">
        <v>42.33</v>
      </c>
      <c r="D5" s="28">
        <v>61.64</v>
      </c>
      <c r="E5" s="36">
        <v>29.9</v>
      </c>
      <c r="F5" s="35">
        <v>42.35</v>
      </c>
      <c r="G5" s="28">
        <v>61.66</v>
      </c>
      <c r="H5" s="36">
        <v>29.92</v>
      </c>
      <c r="I5" s="35">
        <v>42.37</v>
      </c>
      <c r="J5" s="28">
        <v>61.67</v>
      </c>
      <c r="K5" s="36">
        <v>29.959999999999997</v>
      </c>
      <c r="L5" s="35">
        <v>42.36</v>
      </c>
      <c r="M5" s="28">
        <v>61.66</v>
      </c>
      <c r="N5" s="36">
        <v>29.92</v>
      </c>
    </row>
    <row r="6" spans="2:14">
      <c r="B6" s="34" t="s">
        <v>19</v>
      </c>
      <c r="C6" s="35">
        <v>21.94</v>
      </c>
      <c r="D6" s="28">
        <v>34.299999999999997</v>
      </c>
      <c r="E6" s="36">
        <v>16.420000000000002</v>
      </c>
      <c r="F6" s="35">
        <v>23.72</v>
      </c>
      <c r="G6" s="28">
        <v>36.58</v>
      </c>
      <c r="H6" s="36">
        <v>18.02</v>
      </c>
      <c r="I6" s="35">
        <v>26.76</v>
      </c>
      <c r="J6" s="28">
        <v>40.28</v>
      </c>
      <c r="K6" s="36">
        <v>20.94</v>
      </c>
      <c r="L6" s="35">
        <v>23.51</v>
      </c>
      <c r="M6" s="28">
        <v>36.39</v>
      </c>
      <c r="N6" s="36">
        <v>17.849999999999998</v>
      </c>
    </row>
    <row r="7" spans="2:14">
      <c r="B7" s="34" t="s">
        <v>20</v>
      </c>
      <c r="C7" s="35">
        <v>21.37</v>
      </c>
      <c r="D7" s="28">
        <v>33.31</v>
      </c>
      <c r="E7" s="36">
        <v>15.21</v>
      </c>
      <c r="F7" s="35">
        <v>23.72</v>
      </c>
      <c r="G7" s="28">
        <v>36.58</v>
      </c>
      <c r="H7" s="36">
        <v>18.02</v>
      </c>
      <c r="I7" s="35">
        <v>26.76</v>
      </c>
      <c r="J7" s="28">
        <v>40.28</v>
      </c>
      <c r="K7" s="36">
        <v>20.94</v>
      </c>
      <c r="L7" s="35">
        <v>23.81</v>
      </c>
      <c r="M7" s="28">
        <v>36.619999999999997</v>
      </c>
      <c r="N7" s="36">
        <v>18.12</v>
      </c>
    </row>
    <row r="8" spans="2:14">
      <c r="B8" s="34" t="s">
        <v>37</v>
      </c>
      <c r="C8" s="35">
        <v>19.55</v>
      </c>
      <c r="D8" s="28">
        <v>31.16</v>
      </c>
      <c r="E8" s="36">
        <v>12.99</v>
      </c>
      <c r="F8" s="35">
        <v>20.32</v>
      </c>
      <c r="G8" s="28">
        <v>32.39</v>
      </c>
      <c r="H8" s="36">
        <v>13.39</v>
      </c>
      <c r="I8" s="35">
        <v>23.63</v>
      </c>
      <c r="J8" s="28">
        <v>37.21</v>
      </c>
      <c r="K8" s="36">
        <v>15.31</v>
      </c>
      <c r="L8" s="35">
        <v>20.59</v>
      </c>
      <c r="M8" s="28">
        <v>32.85</v>
      </c>
      <c r="N8" s="36">
        <v>13.53</v>
      </c>
    </row>
    <row r="9" spans="2:14">
      <c r="B9" s="34" t="s">
        <v>0</v>
      </c>
      <c r="C9" s="35">
        <v>18.739999999999998</v>
      </c>
      <c r="D9" s="28">
        <v>29.84</v>
      </c>
      <c r="E9" s="36">
        <v>14.42</v>
      </c>
      <c r="F9" s="35">
        <v>19.64</v>
      </c>
      <c r="G9" s="28">
        <v>31.34</v>
      </c>
      <c r="H9" s="36">
        <v>13.270000000000001</v>
      </c>
      <c r="I9" s="35">
        <v>21.12</v>
      </c>
      <c r="J9" s="28">
        <v>33.53</v>
      </c>
      <c r="K9" s="36">
        <v>14.219999999999999</v>
      </c>
      <c r="L9" s="35">
        <v>19.63</v>
      </c>
      <c r="M9" s="28">
        <v>31.32</v>
      </c>
      <c r="N9" s="36">
        <v>13.320000000000002</v>
      </c>
    </row>
    <row r="10" spans="2:14">
      <c r="B10" s="34" t="s">
        <v>1</v>
      </c>
      <c r="C10" s="35">
        <v>18.53</v>
      </c>
      <c r="D10" s="28">
        <v>29.61</v>
      </c>
      <c r="E10" s="36">
        <v>12.709999999999999</v>
      </c>
      <c r="F10" s="35">
        <v>19.649999999999999</v>
      </c>
      <c r="G10" s="28">
        <v>31.37</v>
      </c>
      <c r="H10" s="36">
        <v>13.450000000000001</v>
      </c>
      <c r="I10" s="35">
        <v>21.67</v>
      </c>
      <c r="J10" s="28">
        <v>34.19</v>
      </c>
      <c r="K10" s="36">
        <v>15.03</v>
      </c>
      <c r="L10" s="35">
        <v>19.71</v>
      </c>
      <c r="M10" s="28">
        <v>31.43</v>
      </c>
      <c r="N10" s="36">
        <v>13.54</v>
      </c>
    </row>
    <row r="11" spans="2:14">
      <c r="B11" s="34" t="s">
        <v>22</v>
      </c>
      <c r="C11" s="35">
        <v>18.52</v>
      </c>
      <c r="D11" s="28">
        <v>29.79</v>
      </c>
      <c r="E11" s="36">
        <v>12.31</v>
      </c>
      <c r="F11" s="35">
        <v>19.45</v>
      </c>
      <c r="G11" s="28">
        <v>31.45</v>
      </c>
      <c r="H11" s="36">
        <v>12.82</v>
      </c>
      <c r="I11" s="35">
        <v>20.64</v>
      </c>
      <c r="J11" s="28">
        <v>33.31</v>
      </c>
      <c r="K11" s="36">
        <v>13.74</v>
      </c>
      <c r="L11" s="35">
        <v>19.36</v>
      </c>
      <c r="M11" s="28">
        <v>31.28</v>
      </c>
      <c r="N11" s="36">
        <v>12.809999999999999</v>
      </c>
    </row>
    <row r="12" spans="2:14">
      <c r="B12" s="34" t="s">
        <v>2</v>
      </c>
      <c r="C12" s="35">
        <v>18.27</v>
      </c>
      <c r="D12" s="28">
        <v>29.35</v>
      </c>
      <c r="E12" s="36">
        <v>12.659999999999998</v>
      </c>
      <c r="F12" s="35">
        <v>18.809999999999999</v>
      </c>
      <c r="G12" s="28">
        <v>30.85</v>
      </c>
      <c r="H12" s="36">
        <v>13.25</v>
      </c>
      <c r="I12" s="35">
        <v>20.010000000000002</v>
      </c>
      <c r="J12" s="28">
        <v>31.32</v>
      </c>
      <c r="K12" s="36">
        <v>13.4</v>
      </c>
      <c r="L12" s="35">
        <v>18.829999999999998</v>
      </c>
      <c r="M12" s="28">
        <v>30.93</v>
      </c>
      <c r="N12" s="36">
        <v>13.209999999999999</v>
      </c>
    </row>
    <row r="13" spans="2:14">
      <c r="B13" s="34" t="s">
        <v>21</v>
      </c>
      <c r="C13" s="35">
        <v>18</v>
      </c>
      <c r="D13" s="28">
        <v>28.83</v>
      </c>
      <c r="E13" s="36">
        <v>13.639999999999999</v>
      </c>
      <c r="F13" s="35">
        <v>18.96</v>
      </c>
      <c r="G13" s="28">
        <v>30.33</v>
      </c>
      <c r="H13" s="36">
        <v>14.23</v>
      </c>
      <c r="I13" s="35">
        <v>20.53</v>
      </c>
      <c r="J13" s="28">
        <v>32.54</v>
      </c>
      <c r="K13" s="36">
        <v>15.409999999999998</v>
      </c>
      <c r="L13" s="35">
        <v>18.97</v>
      </c>
      <c r="M13" s="28">
        <v>30.32</v>
      </c>
      <c r="N13" s="36">
        <v>14.26</v>
      </c>
    </row>
    <row r="14" spans="2:14">
      <c r="B14" s="34" t="s">
        <v>26</v>
      </c>
      <c r="C14" s="35">
        <v>17.510000000000002</v>
      </c>
      <c r="D14" s="28">
        <v>28.48</v>
      </c>
      <c r="E14" s="36">
        <v>12</v>
      </c>
      <c r="F14" s="35">
        <v>18.29</v>
      </c>
      <c r="G14" s="28">
        <v>29.86</v>
      </c>
      <c r="H14" s="36">
        <v>12.46</v>
      </c>
      <c r="I14" s="35">
        <v>19.579999999999998</v>
      </c>
      <c r="J14" s="28">
        <v>31.79</v>
      </c>
      <c r="K14" s="36">
        <v>13.38</v>
      </c>
      <c r="L14" s="35">
        <v>18.29</v>
      </c>
      <c r="M14" s="28">
        <v>29.82</v>
      </c>
      <c r="N14" s="36">
        <v>12.49</v>
      </c>
    </row>
    <row r="15" spans="2:14">
      <c r="B15" s="34" t="s">
        <v>45</v>
      </c>
      <c r="C15" s="35">
        <v>17.25</v>
      </c>
      <c r="D15" s="28">
        <v>28.48</v>
      </c>
      <c r="E15" s="36">
        <v>11.44</v>
      </c>
      <c r="F15" s="35">
        <v>18.010000000000002</v>
      </c>
      <c r="G15" s="28">
        <v>29.81</v>
      </c>
      <c r="H15" s="36">
        <v>11.89</v>
      </c>
      <c r="I15" s="35">
        <v>19.2</v>
      </c>
      <c r="J15" s="28">
        <v>31.62</v>
      </c>
      <c r="K15" s="36">
        <v>12.72</v>
      </c>
      <c r="L15" s="35">
        <v>17.989999999999998</v>
      </c>
      <c r="M15" s="28">
        <v>29.74</v>
      </c>
      <c r="N15" s="36">
        <v>11.9</v>
      </c>
    </row>
    <row r="16" spans="2:14" ht="14.35" thickBot="1">
      <c r="B16" s="34" t="s">
        <v>86</v>
      </c>
      <c r="C16" s="35">
        <v>11.177808000000001</v>
      </c>
      <c r="D16" s="28">
        <v>19.317778000000001</v>
      </c>
      <c r="E16" s="36">
        <v>9.6057579999999998</v>
      </c>
      <c r="F16" s="35">
        <v>14.992013</v>
      </c>
      <c r="G16" s="28">
        <v>24.801310999999998</v>
      </c>
      <c r="H16" s="36">
        <v>12.299506000000001</v>
      </c>
      <c r="I16" s="35">
        <v>20.882076000000001</v>
      </c>
      <c r="J16" s="28">
        <v>33.100116</v>
      </c>
      <c r="K16" s="36">
        <v>16.438348999999999</v>
      </c>
      <c r="L16" s="35">
        <f>(C16+F16+I16)/3</f>
        <v>15.683965666666666</v>
      </c>
      <c r="M16" s="28">
        <f t="shared" ref="M16:N16" si="0">(D16+G16+J16)/3</f>
        <v>25.739735</v>
      </c>
      <c r="N16" s="36">
        <f t="shared" si="0"/>
        <v>12.781204333333335</v>
      </c>
    </row>
    <row r="17" spans="2:14" ht="14.35" thickBot="1">
      <c r="B17" s="45" t="s">
        <v>87</v>
      </c>
      <c r="C17" s="48">
        <f t="shared" ref="C17:N17" si="1">1-C16/MIN(C5:C15)</f>
        <v>0.3520111304347826</v>
      </c>
      <c r="D17" s="46">
        <f t="shared" si="1"/>
        <v>0.32170723314606742</v>
      </c>
      <c r="E17" s="47">
        <f t="shared" si="1"/>
        <v>0.16033583916083916</v>
      </c>
      <c r="F17" s="48">
        <f t="shared" si="1"/>
        <v>0.16757284841754583</v>
      </c>
      <c r="G17" s="46">
        <f t="shared" si="1"/>
        <v>0.16802042938611206</v>
      </c>
      <c r="H17" s="49">
        <f t="shared" si="1"/>
        <v>-3.4441211101766234E-2</v>
      </c>
      <c r="I17" s="50">
        <f t="shared" si="1"/>
        <v>-8.7608125000000037E-2</v>
      </c>
      <c r="J17" s="51">
        <f t="shared" si="1"/>
        <v>-5.6836398467432936E-2</v>
      </c>
      <c r="K17" s="49">
        <f t="shared" si="1"/>
        <v>-0.29232303459119491</v>
      </c>
      <c r="L17" s="48">
        <f t="shared" si="1"/>
        <v>0.12818423198073003</v>
      </c>
      <c r="M17" s="46">
        <f t="shared" si="1"/>
        <v>0.13450790181573635</v>
      </c>
      <c r="N17" s="49">
        <f t="shared" si="1"/>
        <v>-7.4050784313725693E-2</v>
      </c>
    </row>
    <row r="18" spans="2:14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2:14" ht="14.35" thickBot="1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spans="2:14" ht="14.35" thickBot="1">
      <c r="B20" s="30"/>
      <c r="C20" s="70" t="s">
        <v>27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2"/>
    </row>
    <row r="21" spans="2:14" ht="14.35" thickBot="1">
      <c r="B21" s="34" t="s">
        <v>35</v>
      </c>
      <c r="C21" s="73" t="s">
        <v>28</v>
      </c>
      <c r="D21" s="74"/>
      <c r="E21" s="75"/>
      <c r="F21" s="73" t="s">
        <v>29</v>
      </c>
      <c r="G21" s="74"/>
      <c r="H21" s="75"/>
      <c r="I21" s="73" t="s">
        <v>30</v>
      </c>
      <c r="J21" s="74"/>
      <c r="K21" s="75"/>
      <c r="L21" s="73" t="s">
        <v>32</v>
      </c>
      <c r="M21" s="74"/>
      <c r="N21" s="75"/>
    </row>
    <row r="22" spans="2:14">
      <c r="B22" s="34" t="s">
        <v>34</v>
      </c>
      <c r="C22" s="31" t="s">
        <v>3</v>
      </c>
      <c r="D22" s="32" t="s">
        <v>4</v>
      </c>
      <c r="E22" s="33" t="s">
        <v>59</v>
      </c>
      <c r="F22" s="31" t="s">
        <v>3</v>
      </c>
      <c r="G22" s="32" t="s">
        <v>4</v>
      </c>
      <c r="H22" s="33" t="s">
        <v>59</v>
      </c>
      <c r="I22" s="31" t="s">
        <v>3</v>
      </c>
      <c r="J22" s="32" t="s">
        <v>4</v>
      </c>
      <c r="K22" s="33" t="s">
        <v>59</v>
      </c>
      <c r="L22" s="31" t="s">
        <v>3</v>
      </c>
      <c r="M22" s="32" t="s">
        <v>4</v>
      </c>
      <c r="N22" s="33" t="s">
        <v>59</v>
      </c>
    </row>
    <row r="23" spans="2:14">
      <c r="B23" s="34" t="s">
        <v>81</v>
      </c>
      <c r="C23" s="35">
        <v>49.02</v>
      </c>
      <c r="D23" s="28">
        <v>71.16</v>
      </c>
      <c r="E23" s="36">
        <v>22.73</v>
      </c>
      <c r="F23" s="35">
        <v>49.03</v>
      </c>
      <c r="G23" s="28">
        <v>71.180000000000007</v>
      </c>
      <c r="H23" s="36">
        <v>22.75</v>
      </c>
      <c r="I23" s="35">
        <v>49.06</v>
      </c>
      <c r="J23" s="28">
        <v>71.2</v>
      </c>
      <c r="K23" s="36">
        <v>22.79</v>
      </c>
      <c r="L23" s="35">
        <v>49.04</v>
      </c>
      <c r="M23" s="28">
        <v>71.180000000000007</v>
      </c>
      <c r="N23" s="36">
        <v>22.75</v>
      </c>
    </row>
    <row r="24" spans="2:14">
      <c r="B24" s="34" t="s">
        <v>19</v>
      </c>
      <c r="C24" s="35">
        <v>32.020000000000003</v>
      </c>
      <c r="D24" s="28">
        <v>48.83</v>
      </c>
      <c r="E24" s="36">
        <v>18.3</v>
      </c>
      <c r="F24" s="35">
        <v>35.18</v>
      </c>
      <c r="G24" s="28">
        <v>52.91</v>
      </c>
      <c r="H24" s="36">
        <v>20.54</v>
      </c>
      <c r="I24" s="35">
        <v>38.369999999999997</v>
      </c>
      <c r="J24" s="28">
        <v>56.82</v>
      </c>
      <c r="K24" s="36">
        <v>22.040000000000003</v>
      </c>
      <c r="L24" s="35">
        <v>37.06</v>
      </c>
      <c r="M24" s="28">
        <v>55.73</v>
      </c>
      <c r="N24" s="36">
        <v>19.93</v>
      </c>
    </row>
    <row r="25" spans="2:14">
      <c r="B25" s="34" t="s">
        <v>37</v>
      </c>
      <c r="C25" s="35">
        <v>23.94</v>
      </c>
      <c r="D25" s="28">
        <v>36.880000000000003</v>
      </c>
      <c r="E25" s="36">
        <v>10.25</v>
      </c>
      <c r="F25" s="35">
        <v>28.77</v>
      </c>
      <c r="G25" s="28">
        <v>43.89</v>
      </c>
      <c r="H25" s="36">
        <v>12.5</v>
      </c>
      <c r="I25" s="35">
        <v>39.369999999999997</v>
      </c>
      <c r="J25" s="28">
        <v>58.07</v>
      </c>
      <c r="K25" s="36">
        <v>18</v>
      </c>
      <c r="L25" s="35">
        <v>29.59</v>
      </c>
      <c r="M25" s="28">
        <v>45.52</v>
      </c>
      <c r="N25" s="36">
        <v>13.04</v>
      </c>
    </row>
    <row r="26" spans="2:14">
      <c r="B26" s="34" t="s">
        <v>20</v>
      </c>
      <c r="C26" s="35">
        <v>20.420000000000002</v>
      </c>
      <c r="D26" s="28">
        <v>33.21</v>
      </c>
      <c r="E26" s="36">
        <v>8.7900000000000009</v>
      </c>
      <c r="F26" s="35">
        <v>23.18</v>
      </c>
      <c r="G26" s="28">
        <v>37.54</v>
      </c>
      <c r="H26" s="36">
        <v>9.8000000000000007</v>
      </c>
      <c r="I26" s="35">
        <v>28.73</v>
      </c>
      <c r="J26" s="28">
        <v>45.63</v>
      </c>
      <c r="K26" s="36">
        <v>12.23</v>
      </c>
      <c r="L26" s="35">
        <v>23.54</v>
      </c>
      <c r="M26" s="28">
        <v>38.200000000000003</v>
      </c>
      <c r="N26" s="36">
        <v>9.9599999999999991</v>
      </c>
    </row>
    <row r="27" spans="2:14">
      <c r="B27" s="34" t="s">
        <v>0</v>
      </c>
      <c r="C27" s="35">
        <v>20.329999999999998</v>
      </c>
      <c r="D27" s="28">
        <v>32.729999999999997</v>
      </c>
      <c r="E27" s="36">
        <v>8.68</v>
      </c>
      <c r="F27" s="35">
        <v>21.66</v>
      </c>
      <c r="G27" s="28">
        <v>35.35</v>
      </c>
      <c r="H27" s="36">
        <v>9.16</v>
      </c>
      <c r="I27" s="35">
        <v>24.16</v>
      </c>
      <c r="J27" s="28">
        <v>39.479999999999997</v>
      </c>
      <c r="K27" s="36">
        <v>10.26</v>
      </c>
      <c r="L27" s="35">
        <v>21.71</v>
      </c>
      <c r="M27" s="28">
        <v>35.409999999999997</v>
      </c>
      <c r="N27" s="36">
        <v>9.25</v>
      </c>
    </row>
    <row r="28" spans="2:14">
      <c r="B28" s="34" t="s">
        <v>1</v>
      </c>
      <c r="C28" s="35">
        <v>19.45</v>
      </c>
      <c r="D28" s="28">
        <v>31.39</v>
      </c>
      <c r="E28" s="36">
        <v>8.2900000000000009</v>
      </c>
      <c r="F28" s="35">
        <v>21.18</v>
      </c>
      <c r="G28" s="28">
        <v>34.42</v>
      </c>
      <c r="H28" s="36">
        <v>9.01</v>
      </c>
      <c r="I28" s="35">
        <v>24.14</v>
      </c>
      <c r="J28" s="28">
        <v>38.840000000000003</v>
      </c>
      <c r="K28" s="36">
        <v>10.42</v>
      </c>
      <c r="L28" s="35">
        <v>21.2</v>
      </c>
      <c r="M28" s="28">
        <v>34.43</v>
      </c>
      <c r="N28" s="36">
        <v>9.06</v>
      </c>
    </row>
    <row r="29" spans="2:14">
      <c r="B29" s="34" t="s">
        <v>21</v>
      </c>
      <c r="C29" s="35">
        <v>18.690000000000001</v>
      </c>
      <c r="D29" s="28">
        <v>30.69</v>
      </c>
      <c r="E29" s="36">
        <v>8.02</v>
      </c>
      <c r="F29" s="35">
        <v>20.260000000000002</v>
      </c>
      <c r="G29" s="28">
        <v>33.369999999999997</v>
      </c>
      <c r="H29" s="36">
        <v>8.5599999999999987</v>
      </c>
      <c r="I29" s="35">
        <v>22.79</v>
      </c>
      <c r="J29" s="28">
        <v>37.11</v>
      </c>
      <c r="K29" s="36">
        <v>9.73</v>
      </c>
      <c r="L29" s="35">
        <v>20.25</v>
      </c>
      <c r="M29" s="28">
        <v>33.32</v>
      </c>
      <c r="N29" s="36">
        <v>8.6300000000000008</v>
      </c>
    </row>
    <row r="30" spans="2:14">
      <c r="B30" s="34" t="s">
        <v>22</v>
      </c>
      <c r="C30" s="35">
        <v>19.309999999999999</v>
      </c>
      <c r="D30" s="28">
        <v>31.68</v>
      </c>
      <c r="E30" s="36">
        <v>8.18</v>
      </c>
      <c r="F30" s="35">
        <v>20.7</v>
      </c>
      <c r="G30" s="28">
        <v>34.520000000000003</v>
      </c>
      <c r="H30" s="36">
        <v>8.66</v>
      </c>
      <c r="I30" s="35">
        <v>22.74</v>
      </c>
      <c r="J30" s="28">
        <v>37.94</v>
      </c>
      <c r="K30" s="36">
        <v>9.7100000000000009</v>
      </c>
      <c r="L30" s="35">
        <v>20.64</v>
      </c>
      <c r="M30" s="28">
        <v>34.39</v>
      </c>
      <c r="N30" s="36">
        <v>8.74</v>
      </c>
    </row>
    <row r="31" spans="2:14">
      <c r="B31" s="34" t="s">
        <v>2</v>
      </c>
      <c r="C31" s="35">
        <v>19.25</v>
      </c>
      <c r="D31" s="28">
        <v>31.2</v>
      </c>
      <c r="E31" s="36">
        <v>8.2100000000000009</v>
      </c>
      <c r="F31" s="35">
        <v>20.329999999999998</v>
      </c>
      <c r="G31" s="28">
        <v>33.299999999999997</v>
      </c>
      <c r="H31" s="36">
        <v>8.6300000000000008</v>
      </c>
      <c r="I31" s="35">
        <v>22.25</v>
      </c>
      <c r="J31" s="28">
        <v>36.4</v>
      </c>
      <c r="K31" s="36">
        <v>9.48</v>
      </c>
      <c r="L31" s="35">
        <v>20.43</v>
      </c>
      <c r="M31" s="28">
        <v>33.299999999999997</v>
      </c>
      <c r="N31" s="36">
        <v>8.6900000000000013</v>
      </c>
    </row>
    <row r="32" spans="2:14">
      <c r="B32" s="34" t="s">
        <v>26</v>
      </c>
      <c r="C32" s="35">
        <v>18.309999999999999</v>
      </c>
      <c r="D32" s="28">
        <v>30.39</v>
      </c>
      <c r="E32" s="36">
        <v>7.7200000000000006</v>
      </c>
      <c r="F32" s="35">
        <v>19.59</v>
      </c>
      <c r="G32" s="28">
        <v>32.9</v>
      </c>
      <c r="H32" s="36">
        <v>8.3000000000000007</v>
      </c>
      <c r="I32" s="35">
        <v>21.52</v>
      </c>
      <c r="J32" s="28">
        <v>36.29</v>
      </c>
      <c r="K32" s="36">
        <v>9.15</v>
      </c>
      <c r="L32" s="35">
        <v>19.54</v>
      </c>
      <c r="M32" s="28">
        <v>32.85</v>
      </c>
      <c r="N32" s="36">
        <v>8.25</v>
      </c>
    </row>
    <row r="33" spans="2:14">
      <c r="B33" s="34" t="s">
        <v>45</v>
      </c>
      <c r="C33" s="35">
        <v>17.989999999999998</v>
      </c>
      <c r="D33" s="28">
        <v>30</v>
      </c>
      <c r="E33" s="36">
        <v>7.6</v>
      </c>
      <c r="F33" s="35">
        <v>19.52</v>
      </c>
      <c r="G33" s="28">
        <v>32.65</v>
      </c>
      <c r="H33" s="36">
        <v>8.15</v>
      </c>
      <c r="I33" s="35">
        <v>21.86</v>
      </c>
      <c r="J33" s="28">
        <v>36.200000000000003</v>
      </c>
      <c r="K33" s="36">
        <v>9.2100000000000009</v>
      </c>
      <c r="L33" s="35">
        <v>19.46</v>
      </c>
      <c r="M33" s="28">
        <v>32.53</v>
      </c>
      <c r="N33" s="36">
        <v>8.15</v>
      </c>
    </row>
    <row r="34" spans="2:14" ht="14.35" thickBot="1">
      <c r="B34" s="34" t="s">
        <v>86</v>
      </c>
      <c r="C34" s="35">
        <v>11.770830999999999</v>
      </c>
      <c r="D34" s="28">
        <v>19.895852999999999</v>
      </c>
      <c r="E34" s="36">
        <v>5.9901749999999998</v>
      </c>
      <c r="F34" s="35">
        <v>15.757262000000001</v>
      </c>
      <c r="G34" s="28">
        <v>26.012108000000001</v>
      </c>
      <c r="H34" s="36">
        <v>7.4008630000000002</v>
      </c>
      <c r="I34" s="35">
        <v>23.726500999999999</v>
      </c>
      <c r="J34" s="28">
        <v>36.472565000000003</v>
      </c>
      <c r="K34" s="36">
        <v>10.341199</v>
      </c>
      <c r="L34" s="35">
        <f>(C34+F34+I34)/3</f>
        <v>17.084864666666665</v>
      </c>
      <c r="M34" s="28">
        <f t="shared" ref="M34:N34" si="2">(D34+G34+J34)/3</f>
        <v>27.460175333333336</v>
      </c>
      <c r="N34" s="36">
        <f t="shared" si="2"/>
        <v>7.9107456666666662</v>
      </c>
    </row>
    <row r="35" spans="2:14" ht="14.35" thickBot="1">
      <c r="B35" s="45" t="s">
        <v>87</v>
      </c>
      <c r="C35" s="48">
        <f t="shared" ref="C35:N35" si="3">1-C34/MIN(C23:C33)</f>
        <v>0.34570144524735957</v>
      </c>
      <c r="D35" s="46">
        <f t="shared" si="3"/>
        <v>0.33680490000000007</v>
      </c>
      <c r="E35" s="47">
        <f t="shared" si="3"/>
        <v>0.2118190789473684</v>
      </c>
      <c r="F35" s="48">
        <f t="shared" si="3"/>
        <v>0.19276321721311473</v>
      </c>
      <c r="G35" s="46">
        <f t="shared" si="3"/>
        <v>0.20330450229709029</v>
      </c>
      <c r="H35" s="47">
        <f t="shared" si="3"/>
        <v>9.1918650306748506E-2</v>
      </c>
      <c r="I35" s="50">
        <f t="shared" si="3"/>
        <v>-0.1025325743494423</v>
      </c>
      <c r="J35" s="51">
        <f t="shared" si="3"/>
        <v>-7.5294198895028419E-3</v>
      </c>
      <c r="K35" s="49">
        <f t="shared" si="3"/>
        <v>-0.13018568306010914</v>
      </c>
      <c r="L35" s="48">
        <f t="shared" si="3"/>
        <v>0.12205217540253521</v>
      </c>
      <c r="M35" s="46">
        <f t="shared" si="3"/>
        <v>0.15585074290398604</v>
      </c>
      <c r="N35" s="47">
        <f t="shared" si="3"/>
        <v>2.9356359918200514E-2</v>
      </c>
    </row>
    <row r="36" spans="2:14" ht="14.35" thickBot="1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 spans="2:14" ht="14.35" thickBot="1">
      <c r="B37" s="30"/>
      <c r="C37" s="70" t="s">
        <v>62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4" ht="14.35" thickBot="1">
      <c r="B38" s="34" t="s">
        <v>35</v>
      </c>
      <c r="C38" s="73" t="s">
        <v>28</v>
      </c>
      <c r="D38" s="74"/>
      <c r="E38" s="75"/>
      <c r="F38" s="73" t="s">
        <v>29</v>
      </c>
      <c r="G38" s="74"/>
      <c r="H38" s="75"/>
      <c r="I38" s="73" t="s">
        <v>30</v>
      </c>
      <c r="J38" s="74"/>
      <c r="K38" s="75"/>
      <c r="L38" s="73" t="s">
        <v>32</v>
      </c>
      <c r="M38" s="74"/>
      <c r="N38" s="75"/>
    </row>
    <row r="39" spans="2:14">
      <c r="B39" s="34" t="s">
        <v>34</v>
      </c>
      <c r="C39" s="31" t="s">
        <v>3</v>
      </c>
      <c r="D39" s="32" t="s">
        <v>4</v>
      </c>
      <c r="E39" s="33" t="s">
        <v>59</v>
      </c>
      <c r="F39" s="31" t="s">
        <v>3</v>
      </c>
      <c r="G39" s="32" t="s">
        <v>4</v>
      </c>
      <c r="H39" s="33" t="s">
        <v>59</v>
      </c>
      <c r="I39" s="31" t="s">
        <v>3</v>
      </c>
      <c r="J39" s="32" t="s">
        <v>4</v>
      </c>
      <c r="K39" s="33" t="s">
        <v>59</v>
      </c>
      <c r="L39" s="31" t="s">
        <v>3</v>
      </c>
      <c r="M39" s="32" t="s">
        <v>4</v>
      </c>
      <c r="N39" s="33" t="s">
        <v>59</v>
      </c>
    </row>
    <row r="40" spans="2:14">
      <c r="B40" s="34" t="s">
        <v>81</v>
      </c>
      <c r="C40" s="35">
        <v>34.549999999999997</v>
      </c>
      <c r="D40" s="28">
        <v>50.41</v>
      </c>
      <c r="E40" s="36">
        <v>21.6</v>
      </c>
      <c r="F40" s="35">
        <v>34.57</v>
      </c>
      <c r="G40" s="28">
        <v>50.43</v>
      </c>
      <c r="H40" s="36">
        <v>21.63</v>
      </c>
      <c r="I40" s="35">
        <v>34.590000000000003</v>
      </c>
      <c r="J40" s="28">
        <v>50.44</v>
      </c>
      <c r="K40" s="36">
        <v>21.68</v>
      </c>
      <c r="L40" s="35">
        <v>34.57</v>
      </c>
      <c r="M40" s="28">
        <v>50.43</v>
      </c>
      <c r="N40" s="36">
        <v>21.63</v>
      </c>
    </row>
    <row r="41" spans="2:14">
      <c r="B41" s="34" t="s">
        <v>19</v>
      </c>
      <c r="C41" s="35">
        <v>19.52</v>
      </c>
      <c r="D41" s="28">
        <v>29.73</v>
      </c>
      <c r="E41" s="36">
        <v>12.540000000000001</v>
      </c>
      <c r="F41" s="35">
        <v>22.25</v>
      </c>
      <c r="G41" s="28">
        <v>33.299999999999997</v>
      </c>
      <c r="H41" s="36">
        <v>14.23</v>
      </c>
      <c r="I41" s="35">
        <v>26.17</v>
      </c>
      <c r="J41" s="28">
        <v>38.97</v>
      </c>
      <c r="K41" s="36">
        <v>17.32</v>
      </c>
      <c r="L41" s="35">
        <v>22.07</v>
      </c>
      <c r="M41" s="28">
        <v>31.02</v>
      </c>
      <c r="N41" s="36">
        <v>14.04</v>
      </c>
    </row>
    <row r="42" spans="2:14">
      <c r="B42" s="34" t="s">
        <v>20</v>
      </c>
      <c r="C42" s="35">
        <v>17.38</v>
      </c>
      <c r="D42" s="28">
        <v>26.27</v>
      </c>
      <c r="E42" s="36">
        <v>12.629999999999999</v>
      </c>
      <c r="F42" s="35">
        <v>21.22</v>
      </c>
      <c r="G42" s="28">
        <v>31.97</v>
      </c>
      <c r="H42" s="36">
        <v>17.32</v>
      </c>
      <c r="I42" s="35">
        <v>30.69</v>
      </c>
      <c r="J42" s="28">
        <v>43.96</v>
      </c>
      <c r="K42" s="36">
        <v>25.72</v>
      </c>
      <c r="L42" s="35">
        <v>21.31</v>
      </c>
      <c r="M42" s="28">
        <v>32.1</v>
      </c>
      <c r="N42" s="36">
        <v>17.47</v>
      </c>
    </row>
    <row r="43" spans="2:14">
      <c r="B43" s="34" t="s">
        <v>37</v>
      </c>
      <c r="C43" s="35">
        <v>16.36</v>
      </c>
      <c r="D43" s="28">
        <v>25.24</v>
      </c>
      <c r="E43" s="36">
        <v>10.01</v>
      </c>
      <c r="F43" s="35">
        <v>18.38</v>
      </c>
      <c r="G43" s="28">
        <v>28.34</v>
      </c>
      <c r="H43" s="36">
        <v>11.12</v>
      </c>
      <c r="I43" s="35">
        <v>22.6</v>
      </c>
      <c r="J43" s="28">
        <v>34.39</v>
      </c>
      <c r="K43" s="36">
        <v>13.57</v>
      </c>
      <c r="L43" s="35">
        <v>18.61</v>
      </c>
      <c r="M43" s="28">
        <v>28.82</v>
      </c>
      <c r="N43" s="36">
        <v>11.27</v>
      </c>
    </row>
    <row r="44" spans="2:14">
      <c r="B44" s="34" t="s">
        <v>0</v>
      </c>
      <c r="C44" s="35">
        <v>14.95</v>
      </c>
      <c r="D44" s="28">
        <v>23.48</v>
      </c>
      <c r="E44" s="36">
        <v>9.8699999999999992</v>
      </c>
      <c r="F44" s="35">
        <v>15.92</v>
      </c>
      <c r="G44" s="28">
        <v>25.36</v>
      </c>
      <c r="H44" s="36">
        <v>10.42</v>
      </c>
      <c r="I44" s="35">
        <v>17.649999999999999</v>
      </c>
      <c r="J44" s="28">
        <v>28.03</v>
      </c>
      <c r="K44" s="36">
        <v>11.34</v>
      </c>
      <c r="L44" s="35">
        <v>15.98</v>
      </c>
      <c r="M44" s="28">
        <v>25.37</v>
      </c>
      <c r="N44" s="36">
        <v>10.43</v>
      </c>
    </row>
    <row r="45" spans="2:14">
      <c r="B45" s="34" t="s">
        <v>22</v>
      </c>
      <c r="C45" s="35">
        <v>14.51</v>
      </c>
      <c r="D45" s="28">
        <v>22.87</v>
      </c>
      <c r="E45" s="36">
        <v>9.34</v>
      </c>
      <c r="F45" s="35">
        <v>15.66</v>
      </c>
      <c r="G45" s="28">
        <v>25</v>
      </c>
      <c r="H45" s="36">
        <v>10.34</v>
      </c>
      <c r="I45" s="35">
        <v>17.489999999999998</v>
      </c>
      <c r="J45" s="28">
        <v>27.93</v>
      </c>
      <c r="K45" s="36">
        <v>11.72</v>
      </c>
      <c r="L45" s="35">
        <v>15.65</v>
      </c>
      <c r="M45" s="28">
        <v>24.99</v>
      </c>
      <c r="N45" s="36">
        <v>10.17</v>
      </c>
    </row>
    <row r="46" spans="2:14">
      <c r="B46" s="34" t="s">
        <v>1</v>
      </c>
      <c r="C46" s="35">
        <v>14.16</v>
      </c>
      <c r="D46" s="28">
        <v>22.2</v>
      </c>
      <c r="E46" s="36">
        <v>9.31</v>
      </c>
      <c r="F46" s="35">
        <v>15.24</v>
      </c>
      <c r="G46" s="28">
        <v>24.26</v>
      </c>
      <c r="H46" s="36">
        <v>9.9</v>
      </c>
      <c r="I46" s="35">
        <v>17.7</v>
      </c>
      <c r="J46" s="28">
        <v>27.14</v>
      </c>
      <c r="K46" s="36">
        <v>11.129999999999999</v>
      </c>
      <c r="L46" s="35">
        <v>15.26</v>
      </c>
      <c r="M46" s="28">
        <v>24.28</v>
      </c>
      <c r="N46" s="36">
        <v>9.9599999999999991</v>
      </c>
    </row>
    <row r="47" spans="2:14">
      <c r="B47" s="34" t="s">
        <v>2</v>
      </c>
      <c r="C47" s="35">
        <v>13.8</v>
      </c>
      <c r="D47" s="28">
        <v>22.88</v>
      </c>
      <c r="E47" s="36">
        <v>9.41</v>
      </c>
      <c r="F47" s="35">
        <v>14.62</v>
      </c>
      <c r="G47" s="28">
        <v>24.12</v>
      </c>
      <c r="H47" s="36">
        <v>9.5699999999999985</v>
      </c>
      <c r="I47" s="35">
        <v>15.72</v>
      </c>
      <c r="J47" s="28">
        <v>26.47</v>
      </c>
      <c r="K47" s="36">
        <v>10.56</v>
      </c>
      <c r="L47" s="35">
        <v>14.81</v>
      </c>
      <c r="M47" s="28">
        <v>24.19</v>
      </c>
      <c r="N47" s="36">
        <v>9.69</v>
      </c>
    </row>
    <row r="48" spans="2:14">
      <c r="B48" s="34" t="s">
        <v>21</v>
      </c>
      <c r="C48" s="35">
        <v>13.72</v>
      </c>
      <c r="D48" s="28">
        <v>21.71</v>
      </c>
      <c r="E48" s="36">
        <v>8.7999999999999989</v>
      </c>
      <c r="F48" s="35">
        <v>14.67</v>
      </c>
      <c r="G48" s="28">
        <v>23.5</v>
      </c>
      <c r="H48" s="36">
        <v>9.49</v>
      </c>
      <c r="I48" s="35">
        <v>16.149999999999999</v>
      </c>
      <c r="J48" s="28">
        <v>25.95</v>
      </c>
      <c r="K48" s="36">
        <v>10.74</v>
      </c>
      <c r="L48" s="35">
        <v>14.67</v>
      </c>
      <c r="M48" s="28">
        <v>23.49</v>
      </c>
      <c r="N48" s="36">
        <v>9.5200000000000014</v>
      </c>
    </row>
    <row r="49" spans="2:14">
      <c r="B49" s="34" t="s">
        <v>26</v>
      </c>
      <c r="C49" s="35">
        <v>13.28</v>
      </c>
      <c r="D49" s="28">
        <v>21.66</v>
      </c>
      <c r="E49" s="36">
        <v>8.6199999999999992</v>
      </c>
      <c r="F49" s="35">
        <v>14.21</v>
      </c>
      <c r="G49" s="28">
        <v>23.57</v>
      </c>
      <c r="H49" s="36">
        <v>9.24</v>
      </c>
      <c r="I49" s="35">
        <v>15.58</v>
      </c>
      <c r="J49" s="28">
        <v>25.89</v>
      </c>
      <c r="K49" s="36">
        <v>10.33</v>
      </c>
      <c r="L49" s="35">
        <v>14.2</v>
      </c>
      <c r="M49" s="28">
        <v>23.49</v>
      </c>
      <c r="N49" s="36">
        <v>9.2799999999999994</v>
      </c>
    </row>
    <row r="50" spans="2:14">
      <c r="B50" s="34" t="s">
        <v>45</v>
      </c>
      <c r="C50" s="35">
        <v>12.41</v>
      </c>
      <c r="D50" s="28">
        <v>21.06</v>
      </c>
      <c r="E50" s="36">
        <v>8.09</v>
      </c>
      <c r="F50" s="35">
        <v>13.28</v>
      </c>
      <c r="G50" s="28">
        <v>22.83</v>
      </c>
      <c r="H50" s="36">
        <v>8.65</v>
      </c>
      <c r="I50" s="35">
        <v>14.48</v>
      </c>
      <c r="J50" s="28">
        <v>24.96</v>
      </c>
      <c r="K50" s="36">
        <v>9.44</v>
      </c>
      <c r="L50" s="35">
        <v>13.24</v>
      </c>
      <c r="M50" s="28">
        <v>22.67</v>
      </c>
      <c r="N50" s="36">
        <v>8.6300000000000008</v>
      </c>
    </row>
    <row r="51" spans="2:14" ht="14.35" thickBot="1">
      <c r="B51" s="34" t="s">
        <v>86</v>
      </c>
      <c r="C51" s="35">
        <v>9.9816520000000004</v>
      </c>
      <c r="D51" s="28">
        <v>15.900976999999999</v>
      </c>
      <c r="E51" s="36">
        <v>7.2706489999999997</v>
      </c>
      <c r="F51" s="35">
        <v>11.057342</v>
      </c>
      <c r="G51" s="28">
        <v>18.392821999999999</v>
      </c>
      <c r="H51" s="36">
        <v>7.30966</v>
      </c>
      <c r="I51" s="35">
        <v>16.354727</v>
      </c>
      <c r="J51" s="28">
        <v>26.042072999999998</v>
      </c>
      <c r="K51" s="36">
        <v>10.813651</v>
      </c>
      <c r="L51" s="35">
        <f>(C51+F51+I51)/3</f>
        <v>12.464573666666666</v>
      </c>
      <c r="M51" s="28">
        <f t="shared" ref="M51:N51" si="4">(D51+G51+J51)/3</f>
        <v>20.111957333333333</v>
      </c>
      <c r="N51" s="36">
        <f t="shared" si="4"/>
        <v>8.4646533333333327</v>
      </c>
    </row>
    <row r="52" spans="2:14" ht="14.35" thickBot="1">
      <c r="B52" s="45" t="s">
        <v>87</v>
      </c>
      <c r="C52" s="48">
        <f t="shared" ref="C52:N52" si="5">1-C51/MIN(C40:C50)</f>
        <v>0.19567671232876704</v>
      </c>
      <c r="D52" s="46">
        <f t="shared" si="5"/>
        <v>0.24496785375118713</v>
      </c>
      <c r="E52" s="47">
        <f t="shared" si="5"/>
        <v>0.10127948084054395</v>
      </c>
      <c r="F52" s="48">
        <f t="shared" si="5"/>
        <v>0.16736882530120478</v>
      </c>
      <c r="G52" s="46">
        <f t="shared" si="5"/>
        <v>0.19435733683749457</v>
      </c>
      <c r="H52" s="47">
        <f t="shared" si="5"/>
        <v>0.15495260115606935</v>
      </c>
      <c r="I52" s="50">
        <f t="shared" si="5"/>
        <v>-0.1294700966850828</v>
      </c>
      <c r="J52" s="51">
        <f t="shared" si="5"/>
        <v>-4.3352283653846024E-2</v>
      </c>
      <c r="K52" s="49">
        <f t="shared" si="5"/>
        <v>-0.14551387711864416</v>
      </c>
      <c r="L52" s="48">
        <f t="shared" si="5"/>
        <v>5.8566943605236732E-2</v>
      </c>
      <c r="M52" s="46">
        <f t="shared" si="5"/>
        <v>0.1128382296721071</v>
      </c>
      <c r="N52" s="47">
        <f t="shared" si="5"/>
        <v>1.9159521050598816E-2</v>
      </c>
    </row>
    <row r="53" spans="2:14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 ht="14.35" thickBot="1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 ht="14.35" thickBot="1">
      <c r="B59" s="45" t="s">
        <v>99</v>
      </c>
      <c r="C59" s="76" t="s">
        <v>28</v>
      </c>
      <c r="D59" s="77"/>
      <c r="E59" s="78"/>
      <c r="F59" s="76" t="s">
        <v>29</v>
      </c>
      <c r="G59" s="77"/>
      <c r="H59" s="78"/>
      <c r="I59" s="76" t="s">
        <v>30</v>
      </c>
      <c r="J59" s="77"/>
      <c r="K59" s="78"/>
      <c r="L59" s="76" t="s">
        <v>32</v>
      </c>
      <c r="M59" s="77"/>
      <c r="N59" s="78"/>
    </row>
    <row r="60" spans="2:14" ht="14.35" thickBot="1">
      <c r="B60" s="45" t="s">
        <v>101</v>
      </c>
      <c r="C60" s="62" t="s">
        <v>3</v>
      </c>
      <c r="D60" s="63" t="s">
        <v>4</v>
      </c>
      <c r="E60" s="64" t="s">
        <v>59</v>
      </c>
      <c r="F60" s="62" t="s">
        <v>3</v>
      </c>
      <c r="G60" s="63" t="s">
        <v>4</v>
      </c>
      <c r="H60" s="64" t="s">
        <v>59</v>
      </c>
      <c r="I60" s="62" t="s">
        <v>3</v>
      </c>
      <c r="J60" s="63" t="s">
        <v>4</v>
      </c>
      <c r="K60" s="64" t="s">
        <v>59</v>
      </c>
      <c r="L60" s="62" t="s">
        <v>3</v>
      </c>
      <c r="M60" s="63" t="s">
        <v>4</v>
      </c>
      <c r="N60" s="64" t="s">
        <v>59</v>
      </c>
    </row>
    <row r="61" spans="2:14" ht="14.35" thickBot="1">
      <c r="B61" s="45" t="s">
        <v>31</v>
      </c>
      <c r="C61" s="48">
        <f t="shared" ref="C61:N61" si="6">C17</f>
        <v>0.3520111304347826</v>
      </c>
      <c r="D61" s="46">
        <f t="shared" si="6"/>
        <v>0.32170723314606742</v>
      </c>
      <c r="E61" s="47">
        <f t="shared" si="6"/>
        <v>0.16033583916083916</v>
      </c>
      <c r="F61" s="48">
        <f t="shared" si="6"/>
        <v>0.16757284841754583</v>
      </c>
      <c r="G61" s="46">
        <f t="shared" si="6"/>
        <v>0.16802042938611206</v>
      </c>
      <c r="H61" s="49">
        <f t="shared" si="6"/>
        <v>-3.4441211101766234E-2</v>
      </c>
      <c r="I61" s="50">
        <f t="shared" si="6"/>
        <v>-8.7608125000000037E-2</v>
      </c>
      <c r="J61" s="51">
        <f t="shared" si="6"/>
        <v>-5.6836398467432936E-2</v>
      </c>
      <c r="K61" s="49">
        <f t="shared" si="6"/>
        <v>-0.29232303459119491</v>
      </c>
      <c r="L61" s="48">
        <f t="shared" si="6"/>
        <v>0.12818423198073003</v>
      </c>
      <c r="M61" s="46">
        <f t="shared" si="6"/>
        <v>0.13450790181573635</v>
      </c>
      <c r="N61" s="49">
        <f t="shared" si="6"/>
        <v>-7.4050784313725693E-2</v>
      </c>
    </row>
    <row r="62" spans="2:14" ht="14.35" thickBot="1">
      <c r="B62" s="45" t="s">
        <v>79</v>
      </c>
      <c r="C62" s="48" cm="1">
        <f t="array" ref="C62:N62">C35:N35</f>
        <v>0.34570144524735957</v>
      </c>
      <c r="D62" s="46">
        <v>0.33680490000000007</v>
      </c>
      <c r="E62" s="47">
        <v>0.2118190789473684</v>
      </c>
      <c r="F62" s="48">
        <v>0.19276321721311473</v>
      </c>
      <c r="G62" s="46">
        <v>0.20330450229709029</v>
      </c>
      <c r="H62" s="47">
        <v>9.1918650306748506E-2</v>
      </c>
      <c r="I62" s="50">
        <v>-0.1025325743494423</v>
      </c>
      <c r="J62" s="51">
        <v>-7.5294198895028419E-3</v>
      </c>
      <c r="K62" s="49">
        <v>-0.13018568306010914</v>
      </c>
      <c r="L62" s="48">
        <v>0.12205217540253521</v>
      </c>
      <c r="M62" s="46">
        <v>0.15585074290398604</v>
      </c>
      <c r="N62" s="47">
        <v>2.9356359918200514E-2</v>
      </c>
    </row>
    <row r="63" spans="2:14" ht="14.35" thickBot="1">
      <c r="B63" s="45" t="s">
        <v>62</v>
      </c>
      <c r="C63" s="48">
        <f>C52</f>
        <v>0.19567671232876704</v>
      </c>
      <c r="D63" s="46">
        <f t="shared" ref="D63:N63" si="7">D52</f>
        <v>0.24496785375118713</v>
      </c>
      <c r="E63" s="47">
        <f t="shared" si="7"/>
        <v>0.10127948084054395</v>
      </c>
      <c r="F63" s="48">
        <f t="shared" si="7"/>
        <v>0.16736882530120478</v>
      </c>
      <c r="G63" s="46">
        <f t="shared" si="7"/>
        <v>0.19435733683749457</v>
      </c>
      <c r="H63" s="47">
        <f t="shared" si="7"/>
        <v>0.15495260115606935</v>
      </c>
      <c r="I63" s="50">
        <f t="shared" si="7"/>
        <v>-0.1294700966850828</v>
      </c>
      <c r="J63" s="51">
        <f t="shared" si="7"/>
        <v>-4.3352283653846024E-2</v>
      </c>
      <c r="K63" s="49">
        <f t="shared" si="7"/>
        <v>-0.14551387711864416</v>
      </c>
      <c r="L63" s="48">
        <f t="shared" si="7"/>
        <v>5.8566943605236732E-2</v>
      </c>
      <c r="M63" s="46">
        <f t="shared" si="7"/>
        <v>0.1128382296721071</v>
      </c>
      <c r="N63" s="47">
        <f t="shared" si="7"/>
        <v>1.9159521050598816E-2</v>
      </c>
    </row>
    <row r="64" spans="2:14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 spans="2:14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</sheetData>
  <mergeCells count="19">
    <mergeCell ref="C59:E59"/>
    <mergeCell ref="F59:H59"/>
    <mergeCell ref="I59:K59"/>
    <mergeCell ref="L59:N59"/>
    <mergeCell ref="C21:E21"/>
    <mergeCell ref="F21:H21"/>
    <mergeCell ref="I21:K21"/>
    <mergeCell ref="L21:N21"/>
    <mergeCell ref="C37:N37"/>
    <mergeCell ref="C38:E38"/>
    <mergeCell ref="F38:H38"/>
    <mergeCell ref="I38:K38"/>
    <mergeCell ref="L38:N38"/>
    <mergeCell ref="C20:N20"/>
    <mergeCell ref="C2:N2"/>
    <mergeCell ref="C3:E3"/>
    <mergeCell ref="F3:H3"/>
    <mergeCell ref="I3:K3"/>
    <mergeCell ref="L3:N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8C87-A9B4-418E-B372-7164E9C3D785}">
  <dimension ref="B1:P12"/>
  <sheetViews>
    <sheetView topLeftCell="B13" workbookViewId="0">
      <selection activeCell="U26" sqref="U26"/>
    </sheetView>
  </sheetViews>
  <sheetFormatPr defaultRowHeight="14"/>
  <cols>
    <col min="2" max="2" width="24.87890625" bestFit="1" customWidth="1"/>
    <col min="6" max="6" width="13.3515625" bestFit="1" customWidth="1"/>
    <col min="7" max="7" width="17.87890625" customWidth="1"/>
    <col min="16" max="16" width="10.87890625" bestFit="1" customWidth="1"/>
  </cols>
  <sheetData>
    <row r="1" spans="2:16">
      <c r="C1" t="s">
        <v>64</v>
      </c>
      <c r="E1" t="s">
        <v>65</v>
      </c>
      <c r="G1" t="s">
        <v>66</v>
      </c>
    </row>
    <row r="3" spans="2:16">
      <c r="B3" t="s">
        <v>54</v>
      </c>
    </row>
    <row r="4" spans="2:16">
      <c r="B4" t="s">
        <v>55</v>
      </c>
    </row>
    <row r="5" spans="2:16">
      <c r="C5" s="12" t="s">
        <v>38</v>
      </c>
      <c r="D5" s="12"/>
      <c r="E5" s="12"/>
      <c r="F5" s="12"/>
      <c r="G5" s="12"/>
    </row>
    <row r="6" spans="2:16">
      <c r="C6" s="8" t="s">
        <v>56</v>
      </c>
      <c r="D6" s="8" t="s">
        <v>57</v>
      </c>
      <c r="E6" s="8" t="s">
        <v>58</v>
      </c>
      <c r="F6" s="8" t="s">
        <v>59</v>
      </c>
      <c r="G6" s="8" t="s">
        <v>36</v>
      </c>
      <c r="L6" s="12" t="s">
        <v>31</v>
      </c>
      <c r="M6" s="12"/>
      <c r="N6" s="12"/>
      <c r="O6" s="12"/>
      <c r="P6" s="12"/>
    </row>
    <row r="7" spans="2:16">
      <c r="C7" s="8">
        <v>1</v>
      </c>
      <c r="D7" s="8">
        <v>13.467765</v>
      </c>
      <c r="E7" s="8">
        <v>20.515518</v>
      </c>
      <c r="F7" s="11">
        <f>G7*100</f>
        <v>14.168026000000001</v>
      </c>
      <c r="G7" s="9">
        <v>0.14168026</v>
      </c>
      <c r="L7" s="8" t="s">
        <v>56</v>
      </c>
      <c r="M7" s="8" t="s">
        <v>57</v>
      </c>
      <c r="N7" s="8" t="s">
        <v>58</v>
      </c>
      <c r="O7" s="8" t="s">
        <v>59</v>
      </c>
      <c r="P7" s="8" t="s">
        <v>36</v>
      </c>
    </row>
    <row r="8" spans="2:16">
      <c r="C8" s="8">
        <v>3</v>
      </c>
      <c r="D8" s="8">
        <v>9.9208590000000001</v>
      </c>
      <c r="E8" s="8">
        <v>15.541905</v>
      </c>
      <c r="F8" s="11">
        <f t="shared" ref="F8:F11" si="0">G8*100</f>
        <v>10.674825</v>
      </c>
      <c r="G8" s="9">
        <v>0.10674825</v>
      </c>
      <c r="L8" s="8">
        <v>1</v>
      </c>
      <c r="M8" s="8">
        <v>17.784873000000001</v>
      </c>
      <c r="N8" s="8">
        <v>27.934272</v>
      </c>
      <c r="O8" s="11">
        <f>P8*100</f>
        <v>12.657487</v>
      </c>
      <c r="P8" s="9">
        <v>0.12657487000000001</v>
      </c>
    </row>
    <row r="9" spans="2:16">
      <c r="C9" s="8">
        <v>6</v>
      </c>
      <c r="D9" s="8">
        <v>8.6927640000000004</v>
      </c>
      <c r="E9" s="8">
        <v>14.202427</v>
      </c>
      <c r="F9" s="11">
        <f t="shared" si="0"/>
        <v>9.8593949999999992</v>
      </c>
      <c r="G9" s="10">
        <v>9.859395E-2</v>
      </c>
      <c r="L9" s="8">
        <v>3</v>
      </c>
      <c r="M9" s="8">
        <v>16.613011</v>
      </c>
      <c r="N9" s="8">
        <v>26.527632000000001</v>
      </c>
      <c r="O9" s="11">
        <f t="shared" ref="O9:O12" si="1">P9*100</f>
        <v>11.84154</v>
      </c>
      <c r="P9" s="9">
        <v>0.1184154</v>
      </c>
    </row>
    <row r="10" spans="2:16">
      <c r="C10" s="8">
        <v>8</v>
      </c>
      <c r="D10" s="8">
        <v>7.8778610000000002</v>
      </c>
      <c r="E10" s="8">
        <v>13.369415</v>
      </c>
      <c r="F10" s="11">
        <f t="shared" si="0"/>
        <v>9.0676220000000001</v>
      </c>
      <c r="G10" s="9">
        <v>9.0676220000000002E-2</v>
      </c>
      <c r="L10" s="8">
        <v>6</v>
      </c>
      <c r="M10" s="8">
        <v>11.275022999999999</v>
      </c>
      <c r="N10" s="8">
        <v>19.136617999999999</v>
      </c>
      <c r="O10" s="11">
        <f t="shared" si="1"/>
        <v>8.8121799999999997</v>
      </c>
      <c r="P10" s="10">
        <v>8.81218E-2</v>
      </c>
    </row>
    <row r="11" spans="2:16">
      <c r="C11" s="8">
        <v>12</v>
      </c>
      <c r="D11" s="8">
        <v>8.8409669999999991</v>
      </c>
      <c r="E11" s="8">
        <v>14.201155</v>
      </c>
      <c r="F11" s="11">
        <f t="shared" si="0"/>
        <v>10.321172000000001</v>
      </c>
      <c r="G11" s="8">
        <v>0.10321172000000001</v>
      </c>
      <c r="L11" s="8">
        <v>8</v>
      </c>
      <c r="M11" s="8">
        <v>11.632647</v>
      </c>
      <c r="N11" s="8">
        <v>19.343264999999999</v>
      </c>
      <c r="O11" s="11">
        <f t="shared" si="1"/>
        <v>9.6345270000000003</v>
      </c>
      <c r="P11" s="9">
        <v>9.6345269999999997E-2</v>
      </c>
    </row>
    <row r="12" spans="2:16">
      <c r="L12" s="8">
        <v>12</v>
      </c>
      <c r="M12" s="8">
        <v>12.184777</v>
      </c>
      <c r="N12" s="8">
        <v>19.96866</v>
      </c>
      <c r="O12" s="11">
        <f t="shared" si="1"/>
        <v>9.7200249999999997</v>
      </c>
      <c r="P12" s="9">
        <v>9.7200250000000002E-2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0C78-4611-4464-ACC4-4461195A0A64}">
  <dimension ref="B1:AA41"/>
  <sheetViews>
    <sheetView topLeftCell="A19" zoomScale="85" zoomScaleNormal="85" workbookViewId="0">
      <selection activeCell="F12" sqref="F12"/>
    </sheetView>
  </sheetViews>
  <sheetFormatPr defaultRowHeight="14"/>
  <cols>
    <col min="2" max="2" width="12.41015625" bestFit="1" customWidth="1"/>
    <col min="5" max="5" width="14.234375" bestFit="1" customWidth="1"/>
    <col min="6" max="6" width="18.1171875" bestFit="1" customWidth="1"/>
    <col min="9" max="9" width="13" customWidth="1"/>
    <col min="13" max="13" width="12.1171875" bestFit="1" customWidth="1"/>
    <col min="15" max="15" width="12.41015625" bestFit="1" customWidth="1"/>
    <col min="19" max="19" width="10.87890625" bestFit="1" customWidth="1"/>
    <col min="20" max="21" width="10.87890625" customWidth="1"/>
    <col min="23" max="23" width="13.234375" bestFit="1" customWidth="1"/>
    <col min="27" max="27" width="13" bestFit="1" customWidth="1"/>
  </cols>
  <sheetData>
    <row r="1" spans="2:27">
      <c r="C1" t="s">
        <v>64</v>
      </c>
      <c r="E1" t="s">
        <v>68</v>
      </c>
      <c r="G1" t="s">
        <v>67</v>
      </c>
    </row>
    <row r="2" spans="2:27">
      <c r="B2" t="s">
        <v>55</v>
      </c>
      <c r="I2" t="s">
        <v>61</v>
      </c>
      <c r="O2" t="s">
        <v>61</v>
      </c>
      <c r="W2" t="s">
        <v>55</v>
      </c>
    </row>
    <row r="3" spans="2:27">
      <c r="B3" s="12" t="s">
        <v>31</v>
      </c>
      <c r="C3" s="12"/>
      <c r="D3" s="12"/>
      <c r="E3" s="12"/>
      <c r="F3" s="12"/>
      <c r="I3" s="12" t="s">
        <v>62</v>
      </c>
      <c r="J3" s="12"/>
      <c r="K3" s="12"/>
      <c r="L3" s="12"/>
      <c r="M3" s="12"/>
      <c r="O3" s="12" t="s">
        <v>31</v>
      </c>
      <c r="P3" s="12"/>
      <c r="Q3" s="12"/>
      <c r="R3" s="12"/>
      <c r="S3" s="12"/>
      <c r="W3" s="12" t="s">
        <v>62</v>
      </c>
      <c r="X3" s="12"/>
      <c r="Y3" s="12"/>
      <c r="Z3" s="12"/>
      <c r="AA3" s="12"/>
    </row>
    <row r="4" spans="2:27">
      <c r="B4" s="8" t="s">
        <v>60</v>
      </c>
      <c r="C4" s="8" t="s">
        <v>57</v>
      </c>
      <c r="D4" s="8" t="s">
        <v>58</v>
      </c>
      <c r="E4" s="8" t="s">
        <v>59</v>
      </c>
      <c r="F4" s="8" t="s">
        <v>36</v>
      </c>
      <c r="I4" s="8" t="s">
        <v>60</v>
      </c>
      <c r="J4" s="8" t="s">
        <v>57</v>
      </c>
      <c r="K4" s="8" t="s">
        <v>58</v>
      </c>
      <c r="L4" s="8" t="s">
        <v>59</v>
      </c>
      <c r="M4" s="8" t="s">
        <v>36</v>
      </c>
      <c r="O4" s="8" t="s">
        <v>60</v>
      </c>
      <c r="P4" s="8" t="s">
        <v>57</v>
      </c>
      <c r="Q4" s="8" t="s">
        <v>58</v>
      </c>
      <c r="R4" s="8" t="s">
        <v>59</v>
      </c>
      <c r="S4" s="8" t="s">
        <v>36</v>
      </c>
      <c r="T4" s="54"/>
      <c r="U4" s="54"/>
      <c r="W4" s="8" t="s">
        <v>60</v>
      </c>
      <c r="X4" s="8" t="s">
        <v>57</v>
      </c>
      <c r="Y4" s="8" t="s">
        <v>58</v>
      </c>
      <c r="Z4" s="8" t="s">
        <v>59</v>
      </c>
      <c r="AA4" s="8" t="s">
        <v>36</v>
      </c>
    </row>
    <row r="5" spans="2:27">
      <c r="B5" s="8">
        <v>4</v>
      </c>
      <c r="C5" s="13">
        <v>12.068861999999999</v>
      </c>
      <c r="D5" s="13">
        <v>20.389430000000001</v>
      </c>
      <c r="E5" s="14">
        <f>F5*100</f>
        <v>10.433441</v>
      </c>
      <c r="F5" s="15">
        <v>0.10433441</v>
      </c>
      <c r="I5" s="8">
        <v>4</v>
      </c>
      <c r="J5" s="8">
        <v>18.627652000000001</v>
      </c>
      <c r="K5" s="8">
        <v>29.073861999999998</v>
      </c>
      <c r="L5" s="11">
        <f>M5*100</f>
        <v>12.111305999999999</v>
      </c>
      <c r="M5" s="9">
        <v>0.12111305999999999</v>
      </c>
      <c r="O5" s="8">
        <v>4</v>
      </c>
      <c r="P5" s="8">
        <v>20.811152</v>
      </c>
      <c r="Q5" s="8">
        <v>33.119306999999999</v>
      </c>
      <c r="R5" s="11">
        <f>S5*100</f>
        <v>15.880938</v>
      </c>
      <c r="S5" s="9">
        <v>0.15880938</v>
      </c>
      <c r="T5" s="55"/>
      <c r="U5" s="55"/>
      <c r="W5" s="58">
        <v>4</v>
      </c>
      <c r="X5" s="58">
        <v>8.6262050000000006</v>
      </c>
      <c r="Y5" s="58">
        <v>15.159716</v>
      </c>
      <c r="Z5" s="59">
        <f>AA5*100</f>
        <v>5.8349900000000003</v>
      </c>
      <c r="AA5" s="60">
        <v>5.8349900000000003E-2</v>
      </c>
    </row>
    <row r="6" spans="2:27">
      <c r="B6" s="8">
        <v>8</v>
      </c>
      <c r="C6" s="8">
        <v>12.154355000000001</v>
      </c>
      <c r="D6" s="8">
        <v>20.437349999999999</v>
      </c>
      <c r="E6" s="11">
        <f>F6*100</f>
        <v>10.832764000000001</v>
      </c>
      <c r="F6" s="9">
        <v>0.10832764</v>
      </c>
      <c r="I6" s="8">
        <v>8</v>
      </c>
      <c r="J6" s="8">
        <v>17.028293000000001</v>
      </c>
      <c r="K6" s="8">
        <v>26.480733000000001</v>
      </c>
      <c r="L6" s="11">
        <f>M6*100</f>
        <v>11.318496999999999</v>
      </c>
      <c r="M6" s="9">
        <v>0.11318497</v>
      </c>
      <c r="O6" s="8">
        <v>8</v>
      </c>
      <c r="P6" s="13">
        <v>20.467224000000002</v>
      </c>
      <c r="Q6" s="13">
        <v>32.634334000000003</v>
      </c>
      <c r="R6" s="14">
        <f>S6*100</f>
        <v>15.964073000000001</v>
      </c>
      <c r="S6" s="15">
        <v>0.15964073000000001</v>
      </c>
      <c r="T6" s="55"/>
      <c r="U6" s="55"/>
      <c r="W6" s="8">
        <v>8</v>
      </c>
      <c r="X6" s="8">
        <v>9.9769349999999992</v>
      </c>
      <c r="Y6" s="8">
        <v>16.439254999999999</v>
      </c>
      <c r="Z6" s="11">
        <f>AA6*100</f>
        <v>6.5925260000000003</v>
      </c>
      <c r="AA6" s="9">
        <v>6.5925259999999999E-2</v>
      </c>
    </row>
    <row r="7" spans="2:27">
      <c r="B7" s="8">
        <v>16</v>
      </c>
      <c r="C7" s="8">
        <v>12.529935999999999</v>
      </c>
      <c r="D7" s="8">
        <v>20.820729</v>
      </c>
      <c r="E7" s="11">
        <f t="shared" ref="E7:E9" si="0">F7*100</f>
        <v>10.616975</v>
      </c>
      <c r="F7" s="9">
        <v>0.10616974999999999</v>
      </c>
      <c r="I7" s="8">
        <v>16</v>
      </c>
      <c r="J7" s="8">
        <v>17.432302</v>
      </c>
      <c r="K7" s="8">
        <v>27.046161000000001</v>
      </c>
      <c r="L7" s="11">
        <f t="shared" ref="L7:L9" si="1">M7*100</f>
        <v>12.054091999999999</v>
      </c>
      <c r="M7" s="9">
        <v>0.12054092</v>
      </c>
      <c r="O7" s="8">
        <v>16</v>
      </c>
      <c r="P7" s="8">
        <v>21.882214999999999</v>
      </c>
      <c r="Q7" s="8">
        <v>34.141581000000002</v>
      </c>
      <c r="R7" s="11">
        <f t="shared" ref="R7:R10" si="2">S7*100</f>
        <v>18.310980000000001</v>
      </c>
      <c r="S7" s="9">
        <v>0.18310979999999999</v>
      </c>
      <c r="T7" s="55"/>
      <c r="U7" s="55"/>
      <c r="W7" s="8">
        <v>16</v>
      </c>
      <c r="X7" s="23">
        <v>8.5696180000000002</v>
      </c>
      <c r="Y7" s="23">
        <v>15.005177</v>
      </c>
      <c r="Z7" s="24">
        <f t="shared" ref="Z7:Z10" si="3">AA7*100</f>
        <v>5.7480560000000001</v>
      </c>
      <c r="AA7" s="25">
        <v>5.748056E-2</v>
      </c>
    </row>
    <row r="8" spans="2:27">
      <c r="B8" s="8">
        <v>32</v>
      </c>
      <c r="C8" s="8">
        <v>12.772389</v>
      </c>
      <c r="D8" s="8">
        <v>21.053623000000002</v>
      </c>
      <c r="E8" s="11">
        <f t="shared" si="0"/>
        <v>11.074923999999999</v>
      </c>
      <c r="F8" s="10">
        <v>0.11074924</v>
      </c>
      <c r="I8" s="8">
        <v>32</v>
      </c>
      <c r="J8" s="8">
        <v>17.084527000000001</v>
      </c>
      <c r="K8" s="8">
        <v>26.798748</v>
      </c>
      <c r="L8" s="11">
        <f t="shared" si="1"/>
        <v>11.209357000000001</v>
      </c>
      <c r="M8" s="10">
        <v>0.11209357</v>
      </c>
      <c r="O8" s="8">
        <v>32</v>
      </c>
      <c r="P8" s="8">
        <v>21.606278</v>
      </c>
      <c r="Q8" s="8">
        <v>33.749825000000001</v>
      </c>
      <c r="R8" s="11">
        <f t="shared" si="2"/>
        <v>18.472064</v>
      </c>
      <c r="S8" s="10">
        <v>0.18472063999999999</v>
      </c>
      <c r="T8" s="56"/>
      <c r="U8" s="56"/>
      <c r="W8" s="8">
        <v>32</v>
      </c>
      <c r="X8" s="23">
        <v>8.9100629999999992</v>
      </c>
      <c r="Y8" s="23">
        <v>15.297136999999999</v>
      </c>
      <c r="Z8" s="24">
        <f t="shared" si="3"/>
        <v>6.0554700000000006</v>
      </c>
      <c r="AA8" s="27">
        <v>6.0554700000000003E-2</v>
      </c>
    </row>
    <row r="9" spans="2:27">
      <c r="B9" s="8">
        <v>64</v>
      </c>
      <c r="C9" s="8">
        <v>12.738275</v>
      </c>
      <c r="D9" s="8">
        <v>21.059021999999999</v>
      </c>
      <c r="E9" s="11">
        <f t="shared" si="0"/>
        <v>10.556697</v>
      </c>
      <c r="F9" s="9">
        <v>0.10556697</v>
      </c>
      <c r="I9" s="8">
        <v>64</v>
      </c>
      <c r="J9" s="13">
        <v>16.362997</v>
      </c>
      <c r="K9" s="13">
        <v>25.924610999999999</v>
      </c>
      <c r="L9" s="14">
        <f t="shared" si="1"/>
        <v>10.479043000000001</v>
      </c>
      <c r="M9" s="15">
        <v>0.10479043</v>
      </c>
      <c r="O9" s="8">
        <v>64</v>
      </c>
      <c r="P9" s="23">
        <v>21.736194999999999</v>
      </c>
      <c r="Q9" s="23">
        <v>34.165089999999999</v>
      </c>
      <c r="R9" s="24">
        <f t="shared" si="2"/>
        <v>17.706980000000001</v>
      </c>
      <c r="S9" s="25">
        <v>0.1770698</v>
      </c>
      <c r="T9" s="57"/>
      <c r="U9" s="57"/>
      <c r="W9" s="8">
        <v>64</v>
      </c>
      <c r="X9" s="23">
        <v>9.7305799999999998</v>
      </c>
      <c r="Y9" s="23">
        <v>16.080425999999999</v>
      </c>
      <c r="Z9" s="24">
        <f t="shared" si="3"/>
        <v>6.5015479999999997</v>
      </c>
      <c r="AA9" s="25">
        <v>6.501548E-2</v>
      </c>
    </row>
    <row r="10" spans="2:27">
      <c r="I10" s="8">
        <v>170</v>
      </c>
      <c r="J10" s="8">
        <v>16.864155</v>
      </c>
      <c r="K10" s="8">
        <v>26.545943000000001</v>
      </c>
      <c r="L10" s="11">
        <f t="shared" ref="L10" si="4">M10*100</f>
        <v>11.02866</v>
      </c>
      <c r="M10" s="9">
        <v>0.1102866</v>
      </c>
      <c r="O10" s="8">
        <v>170</v>
      </c>
      <c r="P10" s="8"/>
      <c r="Q10" s="8"/>
      <c r="R10" s="11">
        <f t="shared" si="2"/>
        <v>0</v>
      </c>
      <c r="S10" s="9"/>
      <c r="T10" s="55"/>
      <c r="U10" s="55"/>
      <c r="W10" s="8">
        <v>170</v>
      </c>
      <c r="X10" s="8"/>
      <c r="Y10" s="8"/>
      <c r="Z10" s="11">
        <f t="shared" si="3"/>
        <v>0</v>
      </c>
      <c r="AA10" s="9"/>
    </row>
    <row r="37" spans="3:7">
      <c r="C37" s="52"/>
      <c r="D37" s="12"/>
      <c r="E37" s="52" t="s">
        <v>89</v>
      </c>
      <c r="F37" s="52" t="s">
        <v>90</v>
      </c>
      <c r="G37" s="52" t="s">
        <v>91</v>
      </c>
    </row>
    <row r="38" spans="3:7">
      <c r="C38" s="52" t="s">
        <v>31</v>
      </c>
      <c r="D38" s="12" t="s">
        <v>55</v>
      </c>
      <c r="E38" s="52">
        <v>307</v>
      </c>
      <c r="F38" s="52">
        <v>4</v>
      </c>
      <c r="G38" s="53">
        <f>F38/E38</f>
        <v>1.3029315960912053E-2</v>
      </c>
    </row>
    <row r="39" spans="3:7">
      <c r="C39" s="52" t="s">
        <v>62</v>
      </c>
      <c r="D39" s="12" t="s">
        <v>61</v>
      </c>
      <c r="E39" s="52">
        <v>170</v>
      </c>
      <c r="F39" s="52">
        <v>64</v>
      </c>
      <c r="G39" s="53">
        <f>F39/E39</f>
        <v>0.37647058823529411</v>
      </c>
    </row>
    <row r="40" spans="3:7">
      <c r="C40" s="52" t="s">
        <v>31</v>
      </c>
      <c r="D40" s="12" t="s">
        <v>61</v>
      </c>
      <c r="E40" s="52">
        <v>307</v>
      </c>
      <c r="F40" s="52">
        <v>4</v>
      </c>
      <c r="G40" s="53">
        <f>F40/E40</f>
        <v>1.3029315960912053E-2</v>
      </c>
    </row>
    <row r="41" spans="3:7">
      <c r="C41" s="52" t="s">
        <v>62</v>
      </c>
      <c r="D41" s="12" t="s">
        <v>55</v>
      </c>
      <c r="E41" s="52">
        <v>170</v>
      </c>
      <c r="F41" s="52">
        <v>16</v>
      </c>
      <c r="G41" s="53">
        <f>F41/E41</f>
        <v>9.4117647058823528E-2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BB83-8F07-4F75-8A22-1DD62E6F0A3B}">
  <dimension ref="B1:L10"/>
  <sheetViews>
    <sheetView topLeftCell="A10" workbookViewId="0">
      <selection activeCell="Q14" sqref="Q14"/>
    </sheetView>
  </sheetViews>
  <sheetFormatPr defaultRowHeight="14"/>
  <cols>
    <col min="2" max="2" width="12.41015625" bestFit="1" customWidth="1"/>
    <col min="3" max="5" width="11.64453125" bestFit="1" customWidth="1"/>
    <col min="6" max="6" width="12.1171875" bestFit="1" customWidth="1"/>
    <col min="8" max="8" width="10.52734375" customWidth="1"/>
    <col min="9" max="11" width="11.64453125" bestFit="1" customWidth="1"/>
    <col min="12" max="12" width="12.1171875" bestFit="1" customWidth="1"/>
  </cols>
  <sheetData>
    <row r="1" spans="2:12">
      <c r="B1" t="s">
        <v>70</v>
      </c>
      <c r="D1" t="s">
        <v>69</v>
      </c>
      <c r="F1" t="s">
        <v>67</v>
      </c>
    </row>
    <row r="3" spans="2:12">
      <c r="B3" t="s">
        <v>61</v>
      </c>
      <c r="H3" t="s">
        <v>61</v>
      </c>
    </row>
    <row r="4" spans="2:12">
      <c r="B4" s="12" t="s">
        <v>62</v>
      </c>
      <c r="C4" s="12"/>
      <c r="D4" s="12"/>
      <c r="E4" s="12"/>
      <c r="F4" s="12"/>
      <c r="H4" s="26" t="s">
        <v>31</v>
      </c>
      <c r="I4" s="26"/>
      <c r="J4" s="26"/>
      <c r="K4" s="26"/>
      <c r="L4" s="26"/>
    </row>
    <row r="5" spans="2:12">
      <c r="B5" s="8" t="s">
        <v>63</v>
      </c>
      <c r="C5" s="8" t="s">
        <v>57</v>
      </c>
      <c r="D5" s="8" t="s">
        <v>58</v>
      </c>
      <c r="E5" s="8" t="s">
        <v>59</v>
      </c>
      <c r="F5" s="8" t="s">
        <v>36</v>
      </c>
      <c r="H5" s="23" t="s">
        <v>63</v>
      </c>
      <c r="I5" s="23" t="s">
        <v>57</v>
      </c>
      <c r="J5" s="23" t="s">
        <v>58</v>
      </c>
      <c r="K5" s="23" t="s">
        <v>59</v>
      </c>
      <c r="L5" s="23" t="s">
        <v>36</v>
      </c>
    </row>
    <row r="6" spans="2:12">
      <c r="B6" s="23">
        <v>8</v>
      </c>
      <c r="C6" s="23">
        <v>16.354727</v>
      </c>
      <c r="D6" s="23">
        <v>26.042072999999998</v>
      </c>
      <c r="E6" s="24">
        <f>F6*100</f>
        <v>10.813651</v>
      </c>
      <c r="F6" s="25">
        <v>0.10813651000000001</v>
      </c>
      <c r="H6" s="23">
        <v>8</v>
      </c>
      <c r="I6" s="23">
        <v>20.882076000000001</v>
      </c>
      <c r="J6" s="23">
        <v>33.100116</v>
      </c>
      <c r="K6" s="24">
        <f>L6*100</f>
        <v>16.438348999999999</v>
      </c>
      <c r="L6" s="25">
        <v>0.16438348999999999</v>
      </c>
    </row>
    <row r="7" spans="2:12">
      <c r="B7" s="8">
        <v>16</v>
      </c>
      <c r="C7" s="8">
        <v>18.437535</v>
      </c>
      <c r="D7" s="8">
        <v>28.419644000000002</v>
      </c>
      <c r="E7" s="11">
        <f t="shared" ref="E7:E9" si="0">F7*100</f>
        <v>12.223291999999999</v>
      </c>
      <c r="F7" s="9">
        <v>0.12223291999999999</v>
      </c>
      <c r="H7" s="23">
        <v>16</v>
      </c>
      <c r="I7" s="23">
        <v>21.732893000000001</v>
      </c>
      <c r="J7" s="23">
        <v>34.037025999999997</v>
      </c>
      <c r="K7" s="24">
        <f t="shared" ref="K7:K10" si="1">L7*100</f>
        <v>17.887163000000001</v>
      </c>
      <c r="L7" s="25">
        <v>0.17887163</v>
      </c>
    </row>
    <row r="8" spans="2:12">
      <c r="B8" s="8">
        <v>32</v>
      </c>
      <c r="C8" s="8">
        <v>16.847508999999999</v>
      </c>
      <c r="D8" s="8">
        <v>26.260335000000001</v>
      </c>
      <c r="E8" s="11">
        <f t="shared" si="0"/>
        <v>11.345840000000001</v>
      </c>
      <c r="F8" s="10">
        <v>0.1134584</v>
      </c>
      <c r="H8" s="23">
        <v>32</v>
      </c>
      <c r="I8" s="23">
        <v>21.324020999999998</v>
      </c>
      <c r="J8" s="23">
        <v>33.619349999999997</v>
      </c>
      <c r="K8" s="24">
        <f t="shared" si="1"/>
        <v>17.015568999999999</v>
      </c>
      <c r="L8" s="27">
        <v>0.17015569</v>
      </c>
    </row>
    <row r="9" spans="2:12">
      <c r="B9" s="8">
        <v>64</v>
      </c>
      <c r="C9" s="8">
        <v>16.633315</v>
      </c>
      <c r="D9" s="8">
        <v>26.187799999999999</v>
      </c>
      <c r="E9" s="11">
        <f t="shared" si="0"/>
        <v>10.799796000000001</v>
      </c>
      <c r="F9" s="9">
        <v>0.10799796</v>
      </c>
      <c r="H9" s="23">
        <v>64</v>
      </c>
      <c r="I9" s="23">
        <v>21.264659000000002</v>
      </c>
      <c r="J9" s="23">
        <v>33.603442999999999</v>
      </c>
      <c r="K9" s="24">
        <f t="shared" si="1"/>
        <v>17.380407000000002</v>
      </c>
      <c r="L9" s="25">
        <v>0.17380407</v>
      </c>
    </row>
    <row r="10" spans="2:12">
      <c r="B10" s="8">
        <v>96</v>
      </c>
      <c r="C10" s="8">
        <v>17.383246</v>
      </c>
      <c r="D10" s="8">
        <v>27.089955</v>
      </c>
      <c r="E10" s="11">
        <f t="shared" ref="E10" si="2">F10*100</f>
        <v>11.281352999999999</v>
      </c>
      <c r="F10" s="9">
        <v>0.11281353</v>
      </c>
      <c r="H10" s="23">
        <v>96</v>
      </c>
      <c r="I10" s="23">
        <v>21.331731999999999</v>
      </c>
      <c r="J10" s="23">
        <v>33.505315000000003</v>
      </c>
      <c r="K10" s="24">
        <f t="shared" si="1"/>
        <v>18.023668000000001</v>
      </c>
      <c r="L10" s="25">
        <v>0.18023668000000001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DF30-13FB-4A61-84EB-B3D703BBAABD}">
  <dimension ref="B2:R12"/>
  <sheetViews>
    <sheetView topLeftCell="A10" workbookViewId="0">
      <selection activeCell="F18" sqref="F18"/>
    </sheetView>
  </sheetViews>
  <sheetFormatPr defaultRowHeight="14"/>
  <cols>
    <col min="6" max="6" width="11.41015625" bestFit="1" customWidth="1"/>
    <col min="12" max="12" width="10.87890625" bestFit="1" customWidth="1"/>
    <col min="18" max="18" width="13" bestFit="1" customWidth="1"/>
  </cols>
  <sheetData>
    <row r="2" spans="2:18">
      <c r="B2" s="22" t="s">
        <v>71</v>
      </c>
      <c r="C2" s="22"/>
      <c r="D2" s="22" t="s">
        <v>69</v>
      </c>
      <c r="E2" s="22"/>
      <c r="F2" s="22" t="s">
        <v>67</v>
      </c>
      <c r="G2" s="22"/>
      <c r="H2" s="22" t="s">
        <v>73</v>
      </c>
      <c r="I2" s="22"/>
      <c r="J2" s="22" t="s">
        <v>74</v>
      </c>
      <c r="K2" s="22"/>
      <c r="L2" s="22" t="s">
        <v>75</v>
      </c>
      <c r="M2" s="22"/>
      <c r="N2" s="22" t="s">
        <v>76</v>
      </c>
      <c r="O2" s="22"/>
      <c r="P2" s="22"/>
      <c r="Q2" s="22" t="s">
        <v>77</v>
      </c>
      <c r="R2" s="22" t="s">
        <v>78</v>
      </c>
    </row>
    <row r="5" spans="2:18">
      <c r="B5" s="12" t="s">
        <v>31</v>
      </c>
      <c r="C5" s="12"/>
      <c r="D5" s="12"/>
      <c r="E5" s="12"/>
      <c r="F5" s="12"/>
      <c r="H5" s="12" t="s">
        <v>62</v>
      </c>
      <c r="I5" s="12"/>
      <c r="J5" s="12"/>
      <c r="K5" s="12"/>
      <c r="L5" s="12"/>
      <c r="N5" s="12" t="s">
        <v>79</v>
      </c>
      <c r="O5" s="12"/>
      <c r="P5" s="12"/>
      <c r="Q5" s="12"/>
      <c r="R5" s="12"/>
    </row>
    <row r="6" spans="2:18">
      <c r="B6" s="8" t="s">
        <v>72</v>
      </c>
      <c r="C6" s="8" t="s">
        <v>57</v>
      </c>
      <c r="D6" s="8" t="s">
        <v>58</v>
      </c>
      <c r="E6" s="8" t="s">
        <v>59</v>
      </c>
      <c r="F6" s="8" t="s">
        <v>36</v>
      </c>
      <c r="H6" s="8" t="s">
        <v>72</v>
      </c>
      <c r="I6" s="8" t="s">
        <v>57</v>
      </c>
      <c r="J6" s="8" t="s">
        <v>58</v>
      </c>
      <c r="K6" s="8" t="s">
        <v>59</v>
      </c>
      <c r="L6" s="8" t="s">
        <v>36</v>
      </c>
      <c r="N6" s="8" t="s">
        <v>72</v>
      </c>
      <c r="O6" s="8" t="s">
        <v>57</v>
      </c>
      <c r="P6" s="8" t="s">
        <v>58</v>
      </c>
      <c r="Q6" s="8" t="s">
        <v>59</v>
      </c>
      <c r="R6" s="8" t="s">
        <v>36</v>
      </c>
    </row>
    <row r="7" spans="2:18">
      <c r="B7" s="16" t="s">
        <v>28</v>
      </c>
      <c r="C7" s="16">
        <v>11.177808000000001</v>
      </c>
      <c r="D7" s="16">
        <v>19.317778000000001</v>
      </c>
      <c r="E7" s="17">
        <f>F7*100</f>
        <v>9.6057579999999998</v>
      </c>
      <c r="F7" s="18">
        <v>9.6057580000000004E-2</v>
      </c>
      <c r="H7" s="8" t="s">
        <v>28</v>
      </c>
      <c r="I7" s="8"/>
      <c r="J7" s="8"/>
      <c r="K7" s="8"/>
      <c r="L7" s="8"/>
      <c r="N7" s="8" t="s">
        <v>28</v>
      </c>
      <c r="O7" s="8"/>
      <c r="P7" s="8"/>
      <c r="Q7" s="8"/>
      <c r="R7" s="8"/>
    </row>
    <row r="8" spans="2:18">
      <c r="B8" s="16" t="s">
        <v>29</v>
      </c>
      <c r="C8" s="16">
        <v>14.992013</v>
      </c>
      <c r="D8" s="16">
        <v>24.801310999999998</v>
      </c>
      <c r="E8" s="17">
        <f>F8*100</f>
        <v>12.299506000000001</v>
      </c>
      <c r="F8" s="18">
        <v>0.12299506</v>
      </c>
      <c r="H8" s="16" t="s">
        <v>29</v>
      </c>
      <c r="I8" s="16">
        <v>11.057342</v>
      </c>
      <c r="J8" s="16">
        <v>18.392821999999999</v>
      </c>
      <c r="K8" s="17">
        <f>L8*100</f>
        <v>7.30966</v>
      </c>
      <c r="L8" s="18">
        <v>7.3096599999999998E-2</v>
      </c>
      <c r="N8" s="16" t="s">
        <v>29</v>
      </c>
      <c r="O8" s="16">
        <v>15.757262000000001</v>
      </c>
      <c r="P8" s="16">
        <v>26.012108000000001</v>
      </c>
      <c r="Q8" s="17">
        <f>R8*100</f>
        <v>7.4008630000000002</v>
      </c>
      <c r="R8" s="18">
        <v>7.4008630000000006E-2</v>
      </c>
    </row>
    <row r="9" spans="2:18">
      <c r="B9" s="16" t="s">
        <v>80</v>
      </c>
      <c r="C9" s="16">
        <v>20.882076000000001</v>
      </c>
      <c r="D9" s="16">
        <v>33.100116</v>
      </c>
      <c r="E9" s="17">
        <f>F9*100</f>
        <v>16.438348999999999</v>
      </c>
      <c r="F9" s="18">
        <v>0.16438348999999999</v>
      </c>
      <c r="H9" s="16" t="s">
        <v>80</v>
      </c>
      <c r="I9" s="16">
        <v>16.354727</v>
      </c>
      <c r="J9" s="16">
        <v>26.042072999999998</v>
      </c>
      <c r="K9" s="17">
        <f>L9*100</f>
        <v>10.813651</v>
      </c>
      <c r="L9" s="18">
        <v>0.10813651000000001</v>
      </c>
      <c r="N9" s="19" t="s">
        <v>80</v>
      </c>
      <c r="O9" s="19">
        <v>23.726500999999999</v>
      </c>
      <c r="P9" s="19">
        <v>36.472565000000003</v>
      </c>
      <c r="Q9" s="20">
        <f>R9*100</f>
        <v>10.341199</v>
      </c>
      <c r="R9" s="21">
        <v>0.10341199</v>
      </c>
    </row>
    <row r="10" spans="2:18">
      <c r="B10" s="8"/>
      <c r="C10" s="8"/>
      <c r="D10" s="8"/>
      <c r="E10" s="11"/>
      <c r="F10" s="10"/>
      <c r="H10" s="8"/>
      <c r="I10" s="8"/>
      <c r="J10" s="8"/>
      <c r="K10" s="11"/>
      <c r="L10" s="10"/>
      <c r="N10" s="8"/>
      <c r="O10" s="8"/>
      <c r="P10" s="8"/>
      <c r="Q10" s="11"/>
      <c r="R10" s="10"/>
    </row>
    <row r="11" spans="2:18">
      <c r="B11" s="8"/>
      <c r="C11" s="8"/>
      <c r="D11" s="8"/>
      <c r="E11" s="11"/>
      <c r="F11" s="9"/>
      <c r="H11" s="8"/>
      <c r="I11" s="8"/>
      <c r="J11" s="8"/>
      <c r="K11" s="11"/>
      <c r="L11" s="9"/>
      <c r="N11" s="8"/>
      <c r="O11" s="8"/>
      <c r="P11" s="8"/>
      <c r="Q11" s="11"/>
      <c r="R11" s="9"/>
    </row>
    <row r="12" spans="2:18">
      <c r="B12" s="8"/>
      <c r="C12" s="8"/>
      <c r="D12" s="8"/>
      <c r="E12" s="11"/>
      <c r="F12" s="9"/>
      <c r="H12" s="8"/>
      <c r="I12" s="8"/>
      <c r="J12" s="8"/>
      <c r="K12" s="11"/>
      <c r="L12" s="9"/>
      <c r="N12" s="8"/>
      <c r="O12" s="8"/>
      <c r="P12" s="8"/>
      <c r="Q12" s="11"/>
      <c r="R12" s="9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6423-9A5A-4D05-BA4C-9D78AAB52403}">
  <dimension ref="B2:R11"/>
  <sheetViews>
    <sheetView topLeftCell="A19" workbookViewId="0">
      <selection activeCell="O23" sqref="O23"/>
    </sheetView>
  </sheetViews>
  <sheetFormatPr defaultRowHeight="14"/>
  <cols>
    <col min="6" max="6" width="11.41015625" bestFit="1" customWidth="1"/>
    <col min="9" max="9" width="10.76171875" customWidth="1"/>
    <col min="12" max="12" width="12.41015625" bestFit="1" customWidth="1"/>
  </cols>
  <sheetData>
    <row r="2" spans="2:18">
      <c r="B2" s="22" t="s">
        <v>71</v>
      </c>
      <c r="C2" s="22"/>
      <c r="D2" s="22" t="s">
        <v>69</v>
      </c>
      <c r="E2" s="22"/>
      <c r="F2" s="22" t="s">
        <v>67</v>
      </c>
      <c r="G2" s="22"/>
      <c r="H2" s="22" t="s">
        <v>73</v>
      </c>
      <c r="I2" s="22"/>
      <c r="J2" s="22" t="s">
        <v>74</v>
      </c>
      <c r="K2" s="22"/>
      <c r="L2" s="22" t="s">
        <v>75</v>
      </c>
      <c r="M2" s="22"/>
      <c r="N2" s="22" t="s">
        <v>76</v>
      </c>
      <c r="O2" s="22"/>
      <c r="P2" s="22"/>
      <c r="Q2" s="22" t="s">
        <v>77</v>
      </c>
      <c r="R2" s="22" t="s">
        <v>78</v>
      </c>
    </row>
    <row r="4" spans="2:18">
      <c r="B4" t="s">
        <v>61</v>
      </c>
      <c r="H4" t="s">
        <v>61</v>
      </c>
    </row>
    <row r="5" spans="2:18">
      <c r="B5" s="26" t="s">
        <v>31</v>
      </c>
      <c r="C5" s="26"/>
      <c r="D5" s="26"/>
      <c r="E5" s="26"/>
      <c r="F5" s="26"/>
      <c r="G5" s="61"/>
      <c r="H5" s="26" t="s">
        <v>62</v>
      </c>
      <c r="I5" s="26"/>
      <c r="J5" s="26"/>
      <c r="K5" s="26"/>
      <c r="L5" s="26"/>
    </row>
    <row r="6" spans="2:18">
      <c r="B6" s="23" t="s">
        <v>82</v>
      </c>
      <c r="C6" s="23" t="s">
        <v>57</v>
      </c>
      <c r="D6" s="23" t="s">
        <v>58</v>
      </c>
      <c r="E6" s="23" t="s">
        <v>59</v>
      </c>
      <c r="F6" s="23" t="s">
        <v>36</v>
      </c>
      <c r="G6" s="61"/>
      <c r="H6" s="23" t="s">
        <v>82</v>
      </c>
      <c r="I6" s="23" t="s">
        <v>57</v>
      </c>
      <c r="J6" s="23" t="s">
        <v>58</v>
      </c>
      <c r="K6" s="23" t="s">
        <v>59</v>
      </c>
      <c r="L6" s="23" t="s">
        <v>36</v>
      </c>
    </row>
    <row r="7" spans="2:18">
      <c r="B7" s="23">
        <v>6</v>
      </c>
      <c r="C7" s="23">
        <v>21.348495</v>
      </c>
      <c r="D7" s="23">
        <v>33.767145999999997</v>
      </c>
      <c r="E7" s="24">
        <f>F7*100</f>
        <v>16.345171000000001</v>
      </c>
      <c r="F7" s="23">
        <v>0.16345171</v>
      </c>
      <c r="G7" s="61"/>
      <c r="H7" s="23">
        <v>6</v>
      </c>
      <c r="I7" s="23">
        <v>16.683478999999998</v>
      </c>
      <c r="J7" s="23">
        <v>26.241173</v>
      </c>
      <c r="K7" s="24">
        <f>L7*100</f>
        <v>10.794043</v>
      </c>
      <c r="L7" s="25">
        <v>0.10794043</v>
      </c>
    </row>
    <row r="8" spans="2:18">
      <c r="B8" s="23">
        <v>12</v>
      </c>
      <c r="C8" s="23">
        <v>20.882076000000001</v>
      </c>
      <c r="D8" s="23">
        <v>33.100116</v>
      </c>
      <c r="E8" s="24">
        <f>F8*100</f>
        <v>16.438348999999999</v>
      </c>
      <c r="F8" s="25">
        <v>0.16438348999999999</v>
      </c>
      <c r="G8" s="61"/>
      <c r="H8" s="23">
        <v>12</v>
      </c>
      <c r="I8" s="23">
        <v>16.354727</v>
      </c>
      <c r="J8" s="23">
        <v>26.042072999999998</v>
      </c>
      <c r="K8" s="24">
        <f>L8*100</f>
        <v>10.813651</v>
      </c>
      <c r="L8" s="25">
        <v>0.10813651000000001</v>
      </c>
    </row>
    <row r="9" spans="2:18">
      <c r="B9" s="23">
        <v>18</v>
      </c>
      <c r="C9" s="23">
        <v>20.261973999999999</v>
      </c>
      <c r="D9" s="23">
        <v>32.369433999999998</v>
      </c>
      <c r="E9" s="24">
        <f>F9*100</f>
        <v>15.205917999999999</v>
      </c>
      <c r="F9" s="27">
        <v>0.15205917999999999</v>
      </c>
      <c r="G9" s="61"/>
      <c r="H9" s="23">
        <v>18</v>
      </c>
      <c r="I9" s="23">
        <v>16.360078999999999</v>
      </c>
      <c r="J9" s="23">
        <v>25.696726000000002</v>
      </c>
      <c r="K9" s="24">
        <f>L9*100</f>
        <v>10.620345</v>
      </c>
      <c r="L9" s="27">
        <v>0.10620345</v>
      </c>
    </row>
    <row r="10" spans="2:18">
      <c r="B10" s="23">
        <v>24</v>
      </c>
      <c r="C10" s="23">
        <v>22.434664999999999</v>
      </c>
      <c r="D10" s="23">
        <v>35.207711000000003</v>
      </c>
      <c r="E10" s="24">
        <f>F10*100</f>
        <v>17.074247</v>
      </c>
      <c r="F10" s="25">
        <v>0.17074247000000001</v>
      </c>
      <c r="G10" s="61"/>
      <c r="H10" s="23">
        <v>24</v>
      </c>
      <c r="I10" s="23">
        <v>17.595855</v>
      </c>
      <c r="J10" s="23">
        <v>27.398367</v>
      </c>
      <c r="K10" s="24">
        <f>L10*100</f>
        <v>11.027711</v>
      </c>
      <c r="L10" s="25">
        <v>0.11027711</v>
      </c>
    </row>
    <row r="11" spans="2:18">
      <c r="B11" s="23"/>
      <c r="C11" s="25">
        <f>(C8-C9)/C8</f>
        <v>2.9695419171925377E-2</v>
      </c>
      <c r="D11" s="25">
        <f>(D8-D9)/D8</f>
        <v>2.2074907532046158E-2</v>
      </c>
      <c r="E11" s="25">
        <f>(E8-E9)/E8</f>
        <v>7.4972918509030331E-2</v>
      </c>
      <c r="F11" s="25"/>
      <c r="G11" s="61"/>
      <c r="H11" s="23"/>
      <c r="I11" s="25">
        <f>(I8-I9)/I8</f>
        <v>-3.2724483875508706E-4</v>
      </c>
      <c r="J11" s="25">
        <f>(J8-J9)/J8</f>
        <v>1.3261117884125305E-2</v>
      </c>
      <c r="K11" s="25">
        <f>(K8-K9)/K8</f>
        <v>1.7876108633430074E-2</v>
      </c>
      <c r="L11" s="25"/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36EE-BF95-4BD9-A1F5-93143907A1AA}">
  <dimension ref="B3:R11"/>
  <sheetViews>
    <sheetView topLeftCell="A7" workbookViewId="0">
      <selection activeCell="I29" sqref="I29"/>
    </sheetView>
  </sheetViews>
  <sheetFormatPr defaultRowHeight="14"/>
  <sheetData>
    <row r="3" spans="2:18">
      <c r="B3" s="22" t="s">
        <v>71</v>
      </c>
      <c r="C3" s="22"/>
      <c r="D3" s="22" t="s">
        <v>69</v>
      </c>
      <c r="E3" s="22"/>
      <c r="F3" s="22" t="s">
        <v>67</v>
      </c>
      <c r="G3" s="22"/>
      <c r="H3" s="22" t="s">
        <v>73</v>
      </c>
      <c r="I3" s="22"/>
      <c r="J3" s="22" t="s">
        <v>74</v>
      </c>
      <c r="K3" s="22"/>
      <c r="L3" s="22" t="s">
        <v>75</v>
      </c>
      <c r="M3" s="22"/>
      <c r="N3" s="22" t="s">
        <v>76</v>
      </c>
      <c r="O3" s="22"/>
      <c r="P3" s="22"/>
      <c r="Q3" s="22" t="s">
        <v>77</v>
      </c>
      <c r="R3" s="22" t="s">
        <v>78</v>
      </c>
    </row>
    <row r="5" spans="2:18">
      <c r="B5" t="s">
        <v>61</v>
      </c>
      <c r="H5" t="s">
        <v>61</v>
      </c>
    </row>
    <row r="6" spans="2:18">
      <c r="B6" s="12" t="s">
        <v>31</v>
      </c>
      <c r="C6" s="12"/>
      <c r="D6" s="12"/>
      <c r="E6" s="12"/>
      <c r="F6" s="12"/>
      <c r="H6" s="12" t="s">
        <v>62</v>
      </c>
      <c r="I6" s="12"/>
      <c r="J6" s="12"/>
      <c r="K6" s="12"/>
      <c r="L6" s="12"/>
    </row>
    <row r="7" spans="2:18">
      <c r="B7" s="8" t="s">
        <v>83</v>
      </c>
      <c r="C7" s="8" t="s">
        <v>57</v>
      </c>
      <c r="D7" s="8" t="s">
        <v>58</v>
      </c>
      <c r="E7" s="8" t="s">
        <v>59</v>
      </c>
      <c r="F7" s="8" t="s">
        <v>36</v>
      </c>
      <c r="H7" s="8" t="s">
        <v>83</v>
      </c>
      <c r="I7" s="8" t="s">
        <v>57</v>
      </c>
      <c r="J7" s="8" t="s">
        <v>58</v>
      </c>
      <c r="K7" s="8" t="s">
        <v>59</v>
      </c>
      <c r="L7" s="8" t="s">
        <v>36</v>
      </c>
    </row>
    <row r="8" spans="2:18">
      <c r="B8" s="16" t="s">
        <v>84</v>
      </c>
      <c r="C8" s="16">
        <v>20.882076000000001</v>
      </c>
      <c r="D8" s="16">
        <v>33.100116</v>
      </c>
      <c r="E8" s="17">
        <f>F8*100</f>
        <v>16.438348999999999</v>
      </c>
      <c r="F8" s="18">
        <v>0.16438348999999999</v>
      </c>
      <c r="H8" s="16" t="s">
        <v>84</v>
      </c>
      <c r="I8" s="16">
        <v>20.056552</v>
      </c>
      <c r="J8" s="16">
        <v>30.212372999999999</v>
      </c>
      <c r="K8" s="17">
        <f>L8*100</f>
        <v>14.196027000000001</v>
      </c>
      <c r="L8" s="18">
        <v>0.14196027</v>
      </c>
    </row>
    <row r="9" spans="2:18">
      <c r="B9" s="8"/>
      <c r="C9" s="8"/>
      <c r="D9" s="8"/>
      <c r="E9" s="17">
        <f>F9*100</f>
        <v>0</v>
      </c>
      <c r="F9" s="10"/>
      <c r="H9" s="8" t="s">
        <v>85</v>
      </c>
      <c r="I9" s="8">
        <v>18.426302</v>
      </c>
      <c r="J9" s="8">
        <v>28.404933</v>
      </c>
      <c r="K9" s="17">
        <f>L9*100</f>
        <v>12.443804999999999</v>
      </c>
      <c r="L9" s="10">
        <v>0.12443804999999999</v>
      </c>
    </row>
    <row r="10" spans="2:18">
      <c r="B10" s="8"/>
      <c r="C10" s="8"/>
      <c r="D10" s="8"/>
      <c r="E10" s="17">
        <f>F10*100</f>
        <v>0</v>
      </c>
      <c r="F10" s="9"/>
      <c r="H10" s="8"/>
      <c r="I10" s="8"/>
      <c r="J10" s="8"/>
      <c r="K10" s="17">
        <f>L10*100</f>
        <v>0</v>
      </c>
      <c r="L10" s="9"/>
    </row>
    <row r="11" spans="2:18">
      <c r="B11" s="8"/>
      <c r="C11" s="8"/>
      <c r="D11" s="8"/>
      <c r="E11" s="11"/>
      <c r="F11" s="9"/>
      <c r="H11" s="8"/>
      <c r="I11" s="8"/>
      <c r="J11" s="8"/>
      <c r="K11" s="11"/>
      <c r="L11" s="9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12CB-3A12-4973-92B7-37F8B94003B2}">
  <dimension ref="B2:U31"/>
  <sheetViews>
    <sheetView tabSelected="1" topLeftCell="A55" zoomScale="85" zoomScaleNormal="85" workbookViewId="0">
      <selection activeCell="J86" sqref="J86"/>
    </sheetView>
  </sheetViews>
  <sheetFormatPr defaultRowHeight="14"/>
  <cols>
    <col min="2" max="2" width="11.3515625" bestFit="1" customWidth="1"/>
    <col min="4" max="4" width="16.76171875" customWidth="1"/>
    <col min="5" max="5" width="9.76171875" bestFit="1" customWidth="1"/>
    <col min="6" max="6" width="12.1171875" bestFit="1" customWidth="1"/>
    <col min="9" max="9" width="11.3515625" bestFit="1" customWidth="1"/>
    <col min="13" max="13" width="12.41015625" bestFit="1" customWidth="1"/>
    <col min="14" max="14" width="12.41015625" customWidth="1"/>
    <col min="16" max="16" width="13.52734375" bestFit="1" customWidth="1"/>
    <col min="20" max="20" width="13" bestFit="1" customWidth="1"/>
  </cols>
  <sheetData>
    <row r="2" spans="2:21">
      <c r="B2" t="s">
        <v>92</v>
      </c>
    </row>
    <row r="3" spans="2:21">
      <c r="B3" s="22" t="s">
        <v>71</v>
      </c>
      <c r="C3" s="22"/>
      <c r="D3" s="22" t="s">
        <v>69</v>
      </c>
      <c r="E3" s="22"/>
      <c r="F3" s="22" t="s">
        <v>67</v>
      </c>
      <c r="G3" s="22"/>
      <c r="H3" s="22"/>
      <c r="I3" s="22" t="s">
        <v>73</v>
      </c>
      <c r="J3" s="22"/>
      <c r="K3" s="22" t="s">
        <v>74</v>
      </c>
      <c r="L3" s="22"/>
      <c r="M3" s="22" t="s">
        <v>75</v>
      </c>
      <c r="N3" s="22"/>
      <c r="O3" s="22"/>
      <c r="P3" s="22" t="s">
        <v>76</v>
      </c>
      <c r="Q3" s="22"/>
      <c r="R3" s="22"/>
      <c r="S3" s="22" t="s">
        <v>77</v>
      </c>
      <c r="T3" s="22" t="s">
        <v>78</v>
      </c>
    </row>
    <row r="6" spans="2:21">
      <c r="B6" s="26" t="s">
        <v>31</v>
      </c>
      <c r="C6" s="26"/>
      <c r="D6" s="26"/>
      <c r="E6" s="26"/>
      <c r="F6" s="26"/>
      <c r="G6" s="26"/>
      <c r="I6" s="26" t="s">
        <v>62</v>
      </c>
      <c r="J6" s="26"/>
      <c r="K6" s="26"/>
      <c r="L6" s="26"/>
      <c r="M6" s="26"/>
      <c r="N6" s="26"/>
      <c r="P6" s="26" t="s">
        <v>79</v>
      </c>
      <c r="Q6" s="26"/>
      <c r="R6" s="26"/>
      <c r="S6" s="26"/>
      <c r="T6" s="26"/>
      <c r="U6" s="26"/>
    </row>
    <row r="7" spans="2:21">
      <c r="B7" s="23" t="s">
        <v>101</v>
      </c>
      <c r="C7" s="23" t="s">
        <v>57</v>
      </c>
      <c r="D7" s="23" t="s">
        <v>58</v>
      </c>
      <c r="E7" s="23" t="s">
        <v>59</v>
      </c>
      <c r="F7" s="23" t="s">
        <v>36</v>
      </c>
      <c r="G7" s="23" t="s">
        <v>88</v>
      </c>
      <c r="I7" s="23" t="s">
        <v>101</v>
      </c>
      <c r="J7" s="23" t="s">
        <v>57</v>
      </c>
      <c r="K7" s="23" t="s">
        <v>58</v>
      </c>
      <c r="L7" s="23" t="s">
        <v>59</v>
      </c>
      <c r="M7" s="23" t="s">
        <v>36</v>
      </c>
      <c r="N7" s="23" t="s">
        <v>88</v>
      </c>
      <c r="P7" s="23" t="s">
        <v>101</v>
      </c>
      <c r="Q7" s="23" t="s">
        <v>57</v>
      </c>
      <c r="R7" s="23" t="s">
        <v>58</v>
      </c>
      <c r="S7" s="23" t="s">
        <v>59</v>
      </c>
      <c r="T7" s="23" t="s">
        <v>36</v>
      </c>
      <c r="U7" s="23" t="s">
        <v>88</v>
      </c>
    </row>
    <row r="9" spans="2:21">
      <c r="B9" s="23" t="s">
        <v>111</v>
      </c>
      <c r="C9" s="23">
        <v>27.355827000000001</v>
      </c>
      <c r="D9" s="23">
        <v>42.442123000000002</v>
      </c>
      <c r="E9" s="24">
        <f>F9*100</f>
        <v>21.130175999999999</v>
      </c>
      <c r="F9" s="27">
        <v>0.21130176000000001</v>
      </c>
      <c r="G9" s="27"/>
      <c r="I9" s="23" t="s">
        <v>111</v>
      </c>
      <c r="J9" s="23">
        <v>21.331778</v>
      </c>
      <c r="K9" s="23">
        <v>33.565587000000001</v>
      </c>
      <c r="L9" s="24">
        <f>M9*100</f>
        <v>13.031738000000001</v>
      </c>
      <c r="M9" s="27">
        <v>0.13031738000000001</v>
      </c>
      <c r="N9" s="27"/>
      <c r="P9" s="23" t="s">
        <v>111</v>
      </c>
      <c r="Q9" s="23">
        <v>31.097909999999999</v>
      </c>
      <c r="R9" s="23">
        <v>46.369140999999999</v>
      </c>
      <c r="S9" s="24">
        <f>T9*100</f>
        <v>13.75958</v>
      </c>
      <c r="T9" s="27">
        <v>0.13759579999999999</v>
      </c>
      <c r="U9" s="27"/>
    </row>
    <row r="10" spans="2:21">
      <c r="B10" s="23" t="s">
        <v>112</v>
      </c>
      <c r="C10" s="23">
        <v>22.731206</v>
      </c>
      <c r="D10" s="23">
        <v>36.114058999999997</v>
      </c>
      <c r="E10" s="24">
        <f>F10*100</f>
        <v>18.013097999999999</v>
      </c>
      <c r="F10" s="27">
        <v>0.18013098</v>
      </c>
      <c r="G10" s="25"/>
      <c r="I10" s="23" t="s">
        <v>112</v>
      </c>
      <c r="J10" s="23">
        <v>19.004242000000001</v>
      </c>
      <c r="K10" s="23">
        <v>29.722491999999999</v>
      </c>
      <c r="L10" s="24">
        <f>M10*100</f>
        <v>12.889508999999999</v>
      </c>
      <c r="M10" s="27">
        <v>0.12889508999999999</v>
      </c>
      <c r="N10" s="25"/>
      <c r="P10" s="23" t="s">
        <v>112</v>
      </c>
      <c r="Q10" s="23">
        <v>24.137547000000001</v>
      </c>
      <c r="R10" s="23">
        <v>37.476849000000001</v>
      </c>
      <c r="S10" s="24">
        <f>T10*100</f>
        <v>10.636267</v>
      </c>
      <c r="T10" s="25">
        <v>0.10636267000000001</v>
      </c>
      <c r="U10" s="25"/>
    </row>
    <row r="11" spans="2:21">
      <c r="B11" s="23" t="s">
        <v>109</v>
      </c>
      <c r="C11" s="23">
        <v>22.388738</v>
      </c>
      <c r="D11" s="23">
        <v>34.788755000000002</v>
      </c>
      <c r="E11" s="65">
        <f>F11*100</f>
        <v>17.549962999999998</v>
      </c>
      <c r="F11" s="25">
        <v>0.17549962999999999</v>
      </c>
      <c r="G11" s="25"/>
      <c r="I11" s="23" t="s">
        <v>109</v>
      </c>
      <c r="J11" s="23">
        <v>17.704267999999999</v>
      </c>
      <c r="K11" s="23">
        <v>27.43439</v>
      </c>
      <c r="L11" s="65">
        <f>M11*100</f>
        <v>10.974722</v>
      </c>
      <c r="M11" s="25">
        <v>0.10974722000000001</v>
      </c>
      <c r="N11" s="25"/>
      <c r="P11" s="23" t="s">
        <v>109</v>
      </c>
      <c r="Q11" s="23">
        <v>24.730129000000002</v>
      </c>
      <c r="R11" s="23">
        <v>37.218316999999999</v>
      </c>
      <c r="S11" s="24">
        <f>T11*100</f>
        <v>11.058</v>
      </c>
      <c r="T11" s="25">
        <v>0.11058</v>
      </c>
      <c r="U11" s="25"/>
    </row>
    <row r="12" spans="2:21">
      <c r="B12" s="23" t="s">
        <v>102</v>
      </c>
      <c r="C12" s="23">
        <v>20.882076000000001</v>
      </c>
      <c r="D12" s="23">
        <v>33.100116</v>
      </c>
      <c r="E12" s="24">
        <f>F12*100</f>
        <v>16.438348999999999</v>
      </c>
      <c r="F12" s="25">
        <v>0.16438348999999999</v>
      </c>
      <c r="G12" s="25"/>
      <c r="I12" s="23" t="s">
        <v>102</v>
      </c>
      <c r="J12" s="23">
        <v>16.354727</v>
      </c>
      <c r="K12" s="23">
        <v>26.042072999999998</v>
      </c>
      <c r="L12" s="24">
        <f>M12*100</f>
        <v>10.813651</v>
      </c>
      <c r="M12" s="25">
        <v>0.10813651000000001</v>
      </c>
      <c r="N12" s="25"/>
      <c r="P12" s="23" t="s">
        <v>102</v>
      </c>
      <c r="Q12" s="23">
        <v>23.726500999999999</v>
      </c>
      <c r="R12" s="23">
        <v>36.472565000000003</v>
      </c>
      <c r="S12" s="24">
        <f>T12*100</f>
        <v>10.341199</v>
      </c>
      <c r="T12" s="25">
        <v>0.10341199</v>
      </c>
      <c r="U12" s="25"/>
    </row>
    <row r="17" spans="2:15" ht="14.7" customHeight="1">
      <c r="L17" s="52"/>
      <c r="M17" s="52" t="s">
        <v>106</v>
      </c>
      <c r="N17" s="52" t="s">
        <v>104</v>
      </c>
      <c r="O17" s="52" t="s">
        <v>107</v>
      </c>
    </row>
    <row r="18" spans="2:15">
      <c r="B18" s="79" t="s">
        <v>113</v>
      </c>
      <c r="C18" s="79"/>
      <c r="D18" s="79"/>
      <c r="E18" s="79"/>
      <c r="F18" s="79"/>
      <c r="G18" s="79"/>
      <c r="L18" s="52" t="s">
        <v>86</v>
      </c>
      <c r="M18" s="52" t="s">
        <v>108</v>
      </c>
      <c r="N18" s="52" t="s">
        <v>108</v>
      </c>
      <c r="O18" s="52" t="s">
        <v>108</v>
      </c>
    </row>
    <row r="19" spans="2:15">
      <c r="B19" s="66" t="s">
        <v>96</v>
      </c>
      <c r="C19" s="68" t="s">
        <v>100</v>
      </c>
      <c r="D19" s="66" t="s">
        <v>114</v>
      </c>
      <c r="E19" s="68" t="s">
        <v>3</v>
      </c>
      <c r="F19" s="68" t="s">
        <v>4</v>
      </c>
      <c r="G19" s="68" t="s">
        <v>115</v>
      </c>
      <c r="L19" s="52" t="s">
        <v>93</v>
      </c>
      <c r="M19" s="52" t="s">
        <v>110</v>
      </c>
      <c r="N19" s="52" t="s">
        <v>108</v>
      </c>
      <c r="O19" s="52" t="s">
        <v>108</v>
      </c>
    </row>
    <row r="20" spans="2:15">
      <c r="B20" s="80" t="s">
        <v>97</v>
      </c>
      <c r="C20" s="68" t="s">
        <v>111</v>
      </c>
      <c r="D20" s="66" t="s">
        <v>105</v>
      </c>
      <c r="E20" s="69">
        <v>27.355799999999999</v>
      </c>
      <c r="F20" s="69">
        <v>42.442100000000003</v>
      </c>
      <c r="G20" s="69">
        <v>21.130179999999999</v>
      </c>
      <c r="L20" s="52" t="s">
        <v>95</v>
      </c>
      <c r="M20" s="52" t="s">
        <v>108</v>
      </c>
      <c r="N20" s="52" t="s">
        <v>108</v>
      </c>
      <c r="O20" s="52" t="s">
        <v>110</v>
      </c>
    </row>
    <row r="21" spans="2:15">
      <c r="B21" s="80"/>
      <c r="C21" s="68" t="s">
        <v>112</v>
      </c>
      <c r="D21" s="66" t="s">
        <v>103</v>
      </c>
      <c r="E21" s="69">
        <v>22.731200000000001</v>
      </c>
      <c r="F21" s="69">
        <v>36.114100000000001</v>
      </c>
      <c r="G21" s="69">
        <v>18.013100000000001</v>
      </c>
    </row>
    <row r="22" spans="2:15">
      <c r="B22" s="80"/>
      <c r="C22" s="68" t="s">
        <v>109</v>
      </c>
      <c r="D22" s="66" t="s">
        <v>116</v>
      </c>
      <c r="E22" s="69">
        <v>22.3887</v>
      </c>
      <c r="F22" s="69">
        <v>34.788800000000002</v>
      </c>
      <c r="G22" s="69">
        <v>17.549959999999999</v>
      </c>
    </row>
    <row r="23" spans="2:15">
      <c r="B23" s="80"/>
      <c r="C23" s="68" t="s">
        <v>102</v>
      </c>
      <c r="D23" s="67" t="s">
        <v>117</v>
      </c>
      <c r="E23" s="69">
        <v>20.882100000000001</v>
      </c>
      <c r="F23" s="69">
        <v>33.100099999999998</v>
      </c>
      <c r="G23" s="69">
        <v>16.43835</v>
      </c>
      <c r="L23" s="52" t="s">
        <v>94</v>
      </c>
      <c r="M23" s="52" t="s">
        <v>108</v>
      </c>
      <c r="N23" s="52" t="s">
        <v>110</v>
      </c>
      <c r="O23" s="52" t="s">
        <v>108</v>
      </c>
    </row>
    <row r="24" spans="2:15">
      <c r="B24" s="80" t="s">
        <v>27</v>
      </c>
      <c r="C24" s="68" t="s">
        <v>111</v>
      </c>
      <c r="D24" s="66" t="s">
        <v>105</v>
      </c>
      <c r="E24" s="69">
        <v>31.097899999999999</v>
      </c>
      <c r="F24" s="69">
        <v>46.369100000000003</v>
      </c>
      <c r="G24" s="69">
        <v>13.759600000000001</v>
      </c>
    </row>
    <row r="25" spans="2:15">
      <c r="B25" s="80"/>
      <c r="C25" s="68" t="s">
        <v>112</v>
      </c>
      <c r="D25" s="66" t="s">
        <v>103</v>
      </c>
      <c r="E25" s="69">
        <v>24.137499999999999</v>
      </c>
      <c r="F25" s="69">
        <v>37.476799999999997</v>
      </c>
      <c r="G25" s="69">
        <v>10.6363</v>
      </c>
    </row>
    <row r="26" spans="2:15">
      <c r="B26" s="80"/>
      <c r="C26" s="68" t="s">
        <v>109</v>
      </c>
      <c r="D26" s="66" t="s">
        <v>116</v>
      </c>
      <c r="E26" s="69">
        <v>24.7301</v>
      </c>
      <c r="F26" s="69">
        <v>37.218299999999999</v>
      </c>
      <c r="G26" s="69">
        <v>11.058</v>
      </c>
    </row>
    <row r="27" spans="2:15">
      <c r="B27" s="80"/>
      <c r="C27" s="68" t="s">
        <v>102</v>
      </c>
      <c r="D27" s="67" t="s">
        <v>117</v>
      </c>
      <c r="E27" s="69">
        <v>23.726500000000001</v>
      </c>
      <c r="F27" s="69">
        <v>36.4726</v>
      </c>
      <c r="G27" s="69">
        <v>10.341200000000001</v>
      </c>
      <c r="I27" s="69">
        <v>16.354700000000001</v>
      </c>
      <c r="J27" s="69">
        <v>26.042100000000001</v>
      </c>
      <c r="K27" s="69">
        <v>10.813700000000001</v>
      </c>
    </row>
    <row r="28" spans="2:15">
      <c r="B28" s="80" t="s">
        <v>98</v>
      </c>
      <c r="C28" s="68" t="s">
        <v>111</v>
      </c>
      <c r="D28" s="66" t="s">
        <v>105</v>
      </c>
      <c r="E28" s="69">
        <v>21.331800000000001</v>
      </c>
      <c r="F28" s="69">
        <v>33.565600000000003</v>
      </c>
      <c r="G28" s="69">
        <v>13.031700000000001</v>
      </c>
    </row>
    <row r="29" spans="2:15">
      <c r="B29" s="80"/>
      <c r="C29" s="68" t="s">
        <v>112</v>
      </c>
      <c r="D29" s="66" t="s">
        <v>103</v>
      </c>
      <c r="E29" s="69">
        <v>19.004200000000001</v>
      </c>
      <c r="F29" s="69">
        <v>29.7225</v>
      </c>
      <c r="G29" s="69">
        <v>12.8895</v>
      </c>
    </row>
    <row r="30" spans="2:15">
      <c r="B30" s="80"/>
      <c r="C30" s="68" t="s">
        <v>109</v>
      </c>
      <c r="D30" s="66" t="s">
        <v>116</v>
      </c>
      <c r="E30" s="69">
        <v>17.7043</v>
      </c>
      <c r="F30" s="69">
        <v>27.4344</v>
      </c>
      <c r="G30" s="69">
        <v>10.97472</v>
      </c>
    </row>
    <row r="31" spans="2:15">
      <c r="B31" s="80"/>
      <c r="C31" s="68" t="s">
        <v>102</v>
      </c>
      <c r="D31" s="67" t="s">
        <v>117</v>
      </c>
      <c r="E31" s="69">
        <v>16.354700000000001</v>
      </c>
      <c r="F31" s="69">
        <v>26.042100000000001</v>
      </c>
      <c r="G31" s="69">
        <v>10.813700000000001</v>
      </c>
    </row>
  </sheetData>
  <mergeCells count="4">
    <mergeCell ref="B18:G18"/>
    <mergeCell ref="B20:B23"/>
    <mergeCell ref="B24:B27"/>
    <mergeCell ref="B28:B3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统计数据</vt:lpstr>
      <vt:lpstr>汇总</vt:lpstr>
      <vt:lpstr>Sheet1</vt:lpstr>
      <vt:lpstr>头数</vt:lpstr>
      <vt:lpstr>emb</vt:lpstr>
      <vt:lpstr>fb-dim</vt:lpstr>
      <vt:lpstr>retrain</vt:lpstr>
      <vt:lpstr>seq_len</vt:lpstr>
      <vt:lpstr>outputblock</vt:lpstr>
      <vt:lpstr>消融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Jinchao Huang</dc:creator>
  <cp:lastModifiedBy>Jinchao Huang</cp:lastModifiedBy>
  <dcterms:created xsi:type="dcterms:W3CDTF">2024-11-10T00:55:14Z</dcterms:created>
  <dcterms:modified xsi:type="dcterms:W3CDTF">2025-06-08T08:29:49Z</dcterms:modified>
</cp:coreProperties>
</file>